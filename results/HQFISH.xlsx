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Sheet1!$A$1:$FL$116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<sst xmlns="http://schemas.openxmlformats.org/spreadsheetml/2006/main" count="2981" uniqueCount="335">
  <si>
    <t xml:space="preserve">code</t>
  </si>
  <si>
    <t xml:space="preserve">date</t>
  </si>
  <si>
    <t xml:space="preserve">month</t>
  </si>
  <si>
    <t xml:space="preserve">station</t>
  </si>
  <si>
    <t xml:space="preserve">sex</t>
  </si>
  <si>
    <t xml:space="preserve">length_cm</t>
  </si>
  <si>
    <t xml:space="preserve">weight_g</t>
  </si>
  <si>
    <t xml:space="preserve">liver_weight_g</t>
  </si>
  <si>
    <t xml:space="preserve">IHP</t>
  </si>
  <si>
    <t xml:space="preserve">carcasse_weight_g</t>
  </si>
  <si>
    <t xml:space="preserve">gonad_weight_g</t>
  </si>
  <si>
    <t xml:space="preserve">GSI</t>
  </si>
  <si>
    <t xml:space="preserve">K_index</t>
  </si>
  <si>
    <t xml:space="preserve">HSI</t>
  </si>
  <si>
    <t xml:space="preserve">comments</t>
  </si>
  <si>
    <t xml:space="preserve">GR_mm_year</t>
  </si>
  <si>
    <t xml:space="preserve">AchE_µmol_min_mg_prot</t>
  </si>
  <si>
    <t xml:space="preserve">EROD_pmol_min_mg_prot</t>
  </si>
  <si>
    <t xml:space="preserve">comet_percentage_DNA_tail</t>
  </si>
  <si>
    <t xml:space="preserve">VTG_ng_mL</t>
  </si>
  <si>
    <t xml:space="preserve">non_specific_lesions_1</t>
  </si>
  <si>
    <t xml:space="preserve">non_specific_lesions_2</t>
  </si>
  <si>
    <t xml:space="preserve">non_specific_lesions_3</t>
  </si>
  <si>
    <t xml:space="preserve">early_toxicopathic_non_neoplastic_lesions</t>
  </si>
  <si>
    <t xml:space="preserve">FCA</t>
  </si>
  <si>
    <t xml:space="preserve">gravity_note</t>
  </si>
  <si>
    <t xml:space="preserve">11KT</t>
  </si>
  <si>
    <t xml:space="preserve">E2</t>
  </si>
  <si>
    <t xml:space="preserve">TBARS_nmol_eq_MDA_mg_prot</t>
  </si>
  <si>
    <t xml:space="preserve">prot_carbo_nmol_mg</t>
  </si>
  <si>
    <t xml:space="preserve">hydroxypyren_µg_g</t>
  </si>
  <si>
    <t xml:space="preserve">sexual_maturation_code_CIEM</t>
  </si>
  <si>
    <t xml:space="preserve">sexual_maturation_total</t>
  </si>
  <si>
    <t xml:space="preserve">sexual_maturation_1</t>
  </si>
  <si>
    <t xml:space="preserve">sexual_maturation_2</t>
  </si>
  <si>
    <t xml:space="preserve">sexual_maturation_3</t>
  </si>
  <si>
    <t xml:space="preserve">sexual_maturation_4</t>
  </si>
  <si>
    <t xml:space="preserve">sexual_maturation_degeneration</t>
  </si>
  <si>
    <t xml:space="preserve">sexual_maturation_index</t>
  </si>
  <si>
    <t xml:space="preserve">G6PDH_liver_IU_mg</t>
  </si>
  <si>
    <t xml:space="preserve">CS_liver_IU_mg</t>
  </si>
  <si>
    <t xml:space="preserve">CS_muscle_IU_mg</t>
  </si>
  <si>
    <t xml:space="preserve">prot_liver_mg_prot_mL_enzymes</t>
  </si>
  <si>
    <t xml:space="preserve">prot_muscle_mg_prot_mL_enzymes</t>
  </si>
  <si>
    <t xml:space="preserve">lipids_ALC_µg_mg</t>
  </si>
  <si>
    <t xml:space="preserve">lipids_FFA_µg_mg</t>
  </si>
  <si>
    <t xml:space="preserve">lipids_FS_µg_mg</t>
  </si>
  <si>
    <t xml:space="preserve">lipids_GE_µg_mg</t>
  </si>
  <si>
    <t xml:space="preserve">lipids_SE_µg_mg</t>
  </si>
  <si>
    <t xml:space="preserve">lipids_TG_µg_mg</t>
  </si>
  <si>
    <t xml:space="preserve">lipids_CL_µg_mg</t>
  </si>
  <si>
    <t xml:space="preserve">lipids_LPC_µg_mg</t>
  </si>
  <si>
    <t xml:space="preserve">lipids_PC_µg_mg</t>
  </si>
  <si>
    <t xml:space="preserve">lipids_PE_µg_mg</t>
  </si>
  <si>
    <t xml:space="preserve">lipids_PI__µg_mg</t>
  </si>
  <si>
    <t xml:space="preserve">lipids_PS_µg_mg</t>
  </si>
  <si>
    <t xml:space="preserve">lipids_SPG_µg_mg</t>
  </si>
  <si>
    <t xml:space="preserve">total_neutral_lipids_µg_mg</t>
  </si>
  <si>
    <t xml:space="preserve">total_polar_lipids_µg_mg</t>
  </si>
  <si>
    <t xml:space="preserve">total_reserve_lipids_µg_mg</t>
  </si>
  <si>
    <t xml:space="preserve">total_membrane_lipids_µg_mg</t>
  </si>
  <si>
    <t xml:space="preserve">lipids_TG_FS_µg_mg</t>
  </si>
  <si>
    <t xml:space="preserve">total_lipids_µg_mg</t>
  </si>
  <si>
    <t xml:space="preserve">naphtalene_liver_ng_g</t>
  </si>
  <si>
    <t xml:space="preserve">2-methylnaphtalene_liver_ng_g</t>
  </si>
  <si>
    <t xml:space="preserve">1-methylnaphtalene_liver_ng_g</t>
  </si>
  <si>
    <t xml:space="preserve">benzothiophene_liver_ng_g</t>
  </si>
  <si>
    <t xml:space="preserve">biphenyl_liver_ng_g</t>
  </si>
  <si>
    <t xml:space="preserve">acenaphtylene_liver_ng_g</t>
  </si>
  <si>
    <t xml:space="preserve">acenaphtene_liver_ng_g</t>
  </si>
  <si>
    <t xml:space="preserve">fluorene_liver_ng_g</t>
  </si>
  <si>
    <t xml:space="preserve">dibenzothiophene_liver_ng_g</t>
  </si>
  <si>
    <t xml:space="preserve">phenanthrene_liver_ng_g</t>
  </si>
  <si>
    <t xml:space="preserve">anthracene_liver_ng_g</t>
  </si>
  <si>
    <t xml:space="preserve">fluoranthene_liver_ng_g</t>
  </si>
  <si>
    <t xml:space="preserve">2-methylfluoranthene_liver_ng_g</t>
  </si>
  <si>
    <t xml:space="preserve">pyrene_liver_ng_g</t>
  </si>
  <si>
    <t xml:space="preserve">benzo-a-pyrene_liver_ng_g</t>
  </si>
  <si>
    <t xml:space="preserve">benzo-e-pyrene_liver_ng_g</t>
  </si>
  <si>
    <t xml:space="preserve">perylene_liver_ng_g</t>
  </si>
  <si>
    <t xml:space="preserve">benzoaanthracene_liver_ng_g</t>
  </si>
  <si>
    <t xml:space="preserve">dibenzo-ah-anthracene_liver_ng_g</t>
  </si>
  <si>
    <t xml:space="preserve">chrysene_liver_ng_g</t>
  </si>
  <si>
    <t xml:space="preserve">benzobfluoranthene_liver_ng_g</t>
  </si>
  <si>
    <t xml:space="preserve">benzokfluoranthene_liver_ng_g</t>
  </si>
  <si>
    <t xml:space="preserve">indeno-1,2,3-cd-pyrene_liver_ng_g</t>
  </si>
  <si>
    <t xml:space="preserve">benzo-ghi-perylene_liver_ng_g</t>
  </si>
  <si>
    <t xml:space="preserve">total_HAP_liver_mg_kg</t>
  </si>
  <si>
    <t xml:space="preserve">PCB-7</t>
  </si>
  <si>
    <t xml:space="preserve">PCB-8</t>
  </si>
  <si>
    <t xml:space="preserve">PCB-18</t>
  </si>
  <si>
    <t xml:space="preserve">PCB-28</t>
  </si>
  <si>
    <t xml:space="preserve">PCB-31</t>
  </si>
  <si>
    <t xml:space="preserve">PCB-35</t>
  </si>
  <si>
    <t xml:space="preserve">PCB-44</t>
  </si>
  <si>
    <t xml:space="preserve">PCB-49</t>
  </si>
  <si>
    <t xml:space="preserve">PCB-52</t>
  </si>
  <si>
    <t xml:space="preserve">PCB-77</t>
  </si>
  <si>
    <t xml:space="preserve">PCB-101</t>
  </si>
  <si>
    <t xml:space="preserve">PCB_105</t>
  </si>
  <si>
    <t xml:space="preserve">PCB-110</t>
  </si>
  <si>
    <t xml:space="preserve">PCB-118</t>
  </si>
  <si>
    <t xml:space="preserve">PCB-128</t>
  </si>
  <si>
    <t xml:space="preserve">PCB-132</t>
  </si>
  <si>
    <t xml:space="preserve">PCB-135</t>
  </si>
  <si>
    <t xml:space="preserve">PCB-138</t>
  </si>
  <si>
    <t xml:space="preserve">PCB-149</t>
  </si>
  <si>
    <t xml:space="preserve">PCB-153</t>
  </si>
  <si>
    <t xml:space="preserve">PCB-156</t>
  </si>
  <si>
    <t xml:space="preserve">PCB-169</t>
  </si>
  <si>
    <t xml:space="preserve">PCB-170</t>
  </si>
  <si>
    <t xml:space="preserve">PCB-180</t>
  </si>
  <si>
    <t xml:space="preserve">PCB-187</t>
  </si>
  <si>
    <t xml:space="preserve">PCB-194</t>
  </si>
  <si>
    <t xml:space="preserve">total_PCB_liver_mg_kg</t>
  </si>
  <si>
    <t xml:space="preserve">acetochlore</t>
  </si>
  <si>
    <t xml:space="preserve">alachlore</t>
  </si>
  <si>
    <t xml:space="preserve">aldrine</t>
  </si>
  <si>
    <t xml:space="preserve">alpha-BHC</t>
  </si>
  <si>
    <t xml:space="preserve">beta-BHC</t>
  </si>
  <si>
    <t xml:space="preserve">gamma-BHC</t>
  </si>
  <si>
    <t xml:space="preserve">delta-BHC</t>
  </si>
  <si>
    <t xml:space="preserve">chlorfenvinphos</t>
  </si>
  <si>
    <t xml:space="preserve">chlorpyrifos</t>
  </si>
  <si>
    <t xml:space="preserve">isodrine</t>
  </si>
  <si>
    <t xml:space="preserve">2-4'-dde</t>
  </si>
  <si>
    <t xml:space="preserve">4-4'-dde</t>
  </si>
  <si>
    <t xml:space="preserve">2-4'-ddd</t>
  </si>
  <si>
    <t xml:space="preserve">4-4'-ddd</t>
  </si>
  <si>
    <t xml:space="preserve">2,4'-ddt</t>
  </si>
  <si>
    <t xml:space="preserve">4-4'-ddt</t>
  </si>
  <si>
    <t xml:space="preserve">diazinon</t>
  </si>
  <si>
    <t xml:space="preserve">endosulfan-alpha</t>
  </si>
  <si>
    <t xml:space="preserve">endosulfan-beta</t>
  </si>
  <si>
    <t xml:space="preserve">endosulfan-sulfate</t>
  </si>
  <si>
    <t xml:space="preserve">endrine</t>
  </si>
  <si>
    <t xml:space="preserve">metolachlor</t>
  </si>
  <si>
    <t xml:space="preserve">metazachlor</t>
  </si>
  <si>
    <t xml:space="preserve">hexachlorobenzene</t>
  </si>
  <si>
    <t xml:space="preserve">dieldrine</t>
  </si>
  <si>
    <t xml:space="preserve">parathion</t>
  </si>
  <si>
    <t xml:space="preserve">methyl_parathion</t>
  </si>
  <si>
    <t xml:space="preserve">total_pesticides_liver_mg_kg</t>
  </si>
  <si>
    <t xml:space="preserve">BDE_28</t>
  </si>
  <si>
    <t xml:space="preserve">BDE_47</t>
  </si>
  <si>
    <t xml:space="preserve">BDE_99</t>
  </si>
  <si>
    <t xml:space="preserve">BDE_100</t>
  </si>
  <si>
    <t xml:space="preserve">BDE_154</t>
  </si>
  <si>
    <t xml:space="preserve">BDE_153</t>
  </si>
  <si>
    <t xml:space="preserve">BDE_183</t>
  </si>
  <si>
    <t xml:space="preserve">total_PBDE_liver_mg_kg</t>
  </si>
  <si>
    <t xml:space="preserve">Ag_liver_mg_kg</t>
  </si>
  <si>
    <t xml:space="preserve">Al_liver_mg_kg</t>
  </si>
  <si>
    <t xml:space="preserve">Cd_liver_mg_kg</t>
  </si>
  <si>
    <t xml:space="preserve">Co_liver_mg_kg</t>
  </si>
  <si>
    <t xml:space="preserve">Cr_liver_mg_kg</t>
  </si>
  <si>
    <t xml:space="preserve">Cu_liver_mg_kg</t>
  </si>
  <si>
    <t xml:space="preserve">Fe_liver_mg_kg</t>
  </si>
  <si>
    <t xml:space="preserve">Hg_liver_mg_kg</t>
  </si>
  <si>
    <t xml:space="preserve">Mn_liver_mg_kg</t>
  </si>
  <si>
    <t xml:space="preserve">Mo_liver_mg_kg</t>
  </si>
  <si>
    <t xml:space="preserve">Ni_liver_mg_kg</t>
  </si>
  <si>
    <t xml:space="preserve">Pb_liver_mg_kg</t>
  </si>
  <si>
    <t xml:space="preserve">Sr_liver_mg_kg</t>
  </si>
  <si>
    <t xml:space="preserve">Ti_liver_mg_kg</t>
  </si>
  <si>
    <t xml:space="preserve">V_liver_mg_kg</t>
  </si>
  <si>
    <t xml:space="preserve">Zn_liver_mg_kg</t>
  </si>
  <si>
    <t xml:space="preserve">Mg_liver_mg_kg</t>
  </si>
  <si>
    <t xml:space="preserve">CA10</t>
  </si>
  <si>
    <t xml:space="preserve">Canche</t>
  </si>
  <si>
    <t xml:space="preserve">M</t>
  </si>
  <si>
    <t xml:space="preserve">pas de bile</t>
  </si>
  <si>
    <t xml:space="preserve">Lymphocytic infiltration</t>
  </si>
  <si>
    <t xml:space="preserve">NA</t>
  </si>
  <si>
    <t xml:space="preserve">CA2</t>
  </si>
  <si>
    <t xml:space="preserve">F</t>
  </si>
  <si>
    <t xml:space="preserve">CA4</t>
  </si>
  <si>
    <t xml:space="preserve">bile partiellement collectee</t>
  </si>
  <si>
    <t xml:space="preserve">CA7</t>
  </si>
  <si>
    <t xml:space="preserve">bile partiellement collectee, nageoire rouge</t>
  </si>
  <si>
    <t xml:space="preserve">CA6</t>
  </si>
  <si>
    <t xml:space="preserve">CA9</t>
  </si>
  <si>
    <t xml:space="preserve">Lipidosis</t>
  </si>
  <si>
    <t xml:space="preserve">CA8</t>
  </si>
  <si>
    <t xml:space="preserve">pas de bile, nageoire rouge</t>
  </si>
  <si>
    <t xml:space="preserve">Increased numbers and size of macrophage aggregates</t>
  </si>
  <si>
    <t xml:space="preserve">CA1</t>
  </si>
  <si>
    <t xml:space="preserve">CA1_bis</t>
  </si>
  <si>
    <t xml:space="preserve">CA3</t>
  </si>
  <si>
    <t xml:space="preserve">caudale rouge</t>
  </si>
  <si>
    <t xml:space="preserve">CA5</t>
  </si>
  <si>
    <t xml:space="preserve">nageoire rouge</t>
  </si>
  <si>
    <t xml:space="preserve">CA29</t>
  </si>
  <si>
    <t xml:space="preserve">pas de bile, heparine diluee</t>
  </si>
  <si>
    <t xml:space="preserve">CA25</t>
  </si>
  <si>
    <t xml:space="preserve">CA27</t>
  </si>
  <si>
    <t xml:space="preserve">CA11</t>
  </si>
  <si>
    <t xml:space="preserve">CA28</t>
  </si>
  <si>
    <t xml:space="preserve">-</t>
  </si>
  <si>
    <t xml:space="preserve">CA24</t>
  </si>
  <si>
    <t xml:space="preserve">testicules fluants</t>
  </si>
  <si>
    <t xml:space="preserve">CA18</t>
  </si>
  <si>
    <t xml:space="preserve">CA21</t>
  </si>
  <si>
    <t xml:space="preserve">CA19</t>
  </si>
  <si>
    <t xml:space="preserve">pas de bile, testicules fluants</t>
  </si>
  <si>
    <t xml:space="preserve">CA30</t>
  </si>
  <si>
    <t xml:space="preserve">heparine diluee</t>
  </si>
  <si>
    <t xml:space="preserve">CA23</t>
  </si>
  <si>
    <t xml:space="preserve">testicules fluants, foie très clair (adipeux ?)</t>
  </si>
  <si>
    <t xml:space="preserve">Phospholipidosis</t>
  </si>
  <si>
    <t xml:space="preserve">CA26</t>
  </si>
  <si>
    <t xml:space="preserve">CA17</t>
  </si>
  <si>
    <t xml:space="preserve">CA14</t>
  </si>
  <si>
    <t xml:space="preserve">branchies peu colorees, peau noire (sub-claquant ?)</t>
  </si>
  <si>
    <t xml:space="preserve">CA22</t>
  </si>
  <si>
    <t xml:space="preserve">CA20</t>
  </si>
  <si>
    <t xml:space="preserve">branchies peu colorees, peau noire</t>
  </si>
  <si>
    <t xml:space="preserve">CA15</t>
  </si>
  <si>
    <t xml:space="preserve">absence de pectorale droite, nageoire rouge</t>
  </si>
  <si>
    <t xml:space="preserve">CA16</t>
  </si>
  <si>
    <t xml:space="preserve">CA12</t>
  </si>
  <si>
    <t xml:space="preserve">CA13</t>
  </si>
  <si>
    <t xml:space="preserve">prelèvements pour la chimie</t>
  </si>
  <si>
    <t xml:space="preserve">&lt;LD</t>
  </si>
  <si>
    <t xml:space="preserve">&lt;LQ</t>
  </si>
  <si>
    <t xml:space="preserve">&lt;DL</t>
  </si>
  <si>
    <t xml:space="preserve">SA30</t>
  </si>
  <si>
    <t xml:space="preserve">Seine</t>
  </si>
  <si>
    <t xml:space="preserve">SA23</t>
  </si>
  <si>
    <t xml:space="preserve">Necrosis</t>
  </si>
  <si>
    <t xml:space="preserve">SA27</t>
  </si>
  <si>
    <t xml:space="preserve">SA1</t>
  </si>
  <si>
    <t xml:space="preserve">pas de prelèvement d'otolithes</t>
  </si>
  <si>
    <t xml:space="preserve">SA9</t>
  </si>
  <si>
    <t xml:space="preserve">Fluant</t>
  </si>
  <si>
    <t xml:space="preserve">SA3</t>
  </si>
  <si>
    <t xml:space="preserve">Fluant, machoire deformee, branchies peu colorees</t>
  </si>
  <si>
    <t xml:space="preserve">Granuloma &amp; Abscess</t>
  </si>
  <si>
    <t xml:space="preserve">SA29</t>
  </si>
  <si>
    <t xml:space="preserve">SA19</t>
  </si>
  <si>
    <t xml:space="preserve">nd</t>
  </si>
  <si>
    <t xml:space="preserve">SA28</t>
  </si>
  <si>
    <t xml:space="preserve">Ovaires très peu developpes</t>
  </si>
  <si>
    <t xml:space="preserve">SA7</t>
  </si>
  <si>
    <t xml:space="preserve">SA16</t>
  </si>
  <si>
    <t xml:space="preserve">SA26</t>
  </si>
  <si>
    <t xml:space="preserve">SA2</t>
  </si>
  <si>
    <t xml:space="preserve">SA22</t>
  </si>
  <si>
    <t xml:space="preserve">SA4</t>
  </si>
  <si>
    <t xml:space="preserve">Hydropic vacuolation</t>
  </si>
  <si>
    <t xml:space="preserve">SA17</t>
  </si>
  <si>
    <t xml:space="preserve">SA21</t>
  </si>
  <si>
    <t xml:space="preserve">SA18</t>
  </si>
  <si>
    <t xml:space="preserve">SA5</t>
  </si>
  <si>
    <t xml:space="preserve">SA25</t>
  </si>
  <si>
    <t xml:space="preserve">Très fluant</t>
  </si>
  <si>
    <t xml:space="preserve">SA10</t>
  </si>
  <si>
    <t xml:space="preserve">taches blanchâtres sur le tegument</t>
  </si>
  <si>
    <t xml:space="preserve">SA20</t>
  </si>
  <si>
    <t xml:space="preserve">SA15</t>
  </si>
  <si>
    <t xml:space="preserve">Eosinophilic foci</t>
  </si>
  <si>
    <t xml:space="preserve">SA13</t>
  </si>
  <si>
    <t xml:space="preserve">parasites au foie</t>
  </si>
  <si>
    <t xml:space="preserve">SA14</t>
  </si>
  <si>
    <t xml:space="preserve">SA24</t>
  </si>
  <si>
    <t xml:space="preserve">SA11</t>
  </si>
  <si>
    <t xml:space="preserve">SA12</t>
  </si>
  <si>
    <t xml:space="preserve">SA8</t>
  </si>
  <si>
    <t xml:space="preserve">SA6</t>
  </si>
  <si>
    <t xml:space="preserve">necrose caudale</t>
  </si>
  <si>
    <t xml:space="preserve">SA56</t>
  </si>
  <si>
    <t xml:space="preserve">foie "chocolat"</t>
  </si>
  <si>
    <t xml:space="preserve">SA33</t>
  </si>
  <si>
    <t xml:space="preserve">chimie: LASIR + CEDRE</t>
  </si>
  <si>
    <t xml:space="preserve">SA54</t>
  </si>
  <si>
    <t xml:space="preserve">foie "chocolat" + copepodes sur branchies</t>
  </si>
  <si>
    <t xml:space="preserve">SA51</t>
  </si>
  <si>
    <t xml:space="preserve">SA58</t>
  </si>
  <si>
    <t xml:space="preserve">SA31</t>
  </si>
  <si>
    <t xml:space="preserve">SA40</t>
  </si>
  <si>
    <t xml:space="preserve">SA53</t>
  </si>
  <si>
    <t xml:space="preserve">foie "marbre", en mosaïque</t>
  </si>
  <si>
    <t xml:space="preserve">SA43</t>
  </si>
  <si>
    <t xml:space="preserve">SA47</t>
  </si>
  <si>
    <t xml:space="preserve">SA52</t>
  </si>
  <si>
    <t xml:space="preserve">SA34</t>
  </si>
  <si>
    <t xml:space="preserve">SA36</t>
  </si>
  <si>
    <t xml:space="preserve">SA50</t>
  </si>
  <si>
    <t xml:space="preserve">SA32</t>
  </si>
  <si>
    <t xml:space="preserve">SA38</t>
  </si>
  <si>
    <t xml:space="preserve">SA45</t>
  </si>
  <si>
    <t xml:space="preserve">SA37</t>
  </si>
  <si>
    <t xml:space="preserve">SA55</t>
  </si>
  <si>
    <t xml:space="preserve">SA35</t>
  </si>
  <si>
    <t xml:space="preserve">SA44</t>
  </si>
  <si>
    <t xml:space="preserve">bougeonnement blanc sur TD + 1 nodule sur foie</t>
  </si>
  <si>
    <t xml:space="preserve">SA42</t>
  </si>
  <si>
    <t xml:space="preserve">SA48</t>
  </si>
  <si>
    <t xml:space="preserve">SA46</t>
  </si>
  <si>
    <t xml:space="preserve">SA57</t>
  </si>
  <si>
    <t xml:space="preserve">SA39</t>
  </si>
  <si>
    <t xml:space="preserve">SA49</t>
  </si>
  <si>
    <t xml:space="preserve">Basophilic foci</t>
  </si>
  <si>
    <t xml:space="preserve">SA41</t>
  </si>
  <si>
    <t xml:space="preserve">CA43</t>
  </si>
  <si>
    <t xml:space="preserve">CA55</t>
  </si>
  <si>
    <t xml:space="preserve">corpuscules blancs dans cavite gen., pas de bile</t>
  </si>
  <si>
    <t xml:space="preserve">CA49</t>
  </si>
  <si>
    <t xml:space="preserve">CA35</t>
  </si>
  <si>
    <t xml:space="preserve">CA52</t>
  </si>
  <si>
    <t xml:space="preserve">CA53</t>
  </si>
  <si>
    <t xml:space="preserve">CA46</t>
  </si>
  <si>
    <t xml:space="preserve">CA39</t>
  </si>
  <si>
    <t xml:space="preserve">CA56</t>
  </si>
  <si>
    <t xml:space="preserve">CA47</t>
  </si>
  <si>
    <t xml:space="preserve">CA54</t>
  </si>
  <si>
    <t xml:space="preserve">CA40</t>
  </si>
  <si>
    <t xml:space="preserve">CA44</t>
  </si>
  <si>
    <t xml:space="preserve">CA48</t>
  </si>
  <si>
    <t xml:space="preserve">CA41</t>
  </si>
  <si>
    <t xml:space="preserve">colonne vertebrale deformee</t>
  </si>
  <si>
    <t xml:space="preserve">CA42</t>
  </si>
  <si>
    <t xml:space="preserve">otolithes detruits</t>
  </si>
  <si>
    <t xml:space="preserve">CA38</t>
  </si>
  <si>
    <t xml:space="preserve">CA36</t>
  </si>
  <si>
    <t xml:space="preserve">CA51</t>
  </si>
  <si>
    <t xml:space="preserve">chimie: LASIR + CEDRE, sang "gazeux" !!!</t>
  </si>
  <si>
    <t xml:space="preserve">CA45</t>
  </si>
  <si>
    <t xml:space="preserve">CA50</t>
  </si>
  <si>
    <t xml:space="preserve">base de la dorsale deformee, pas de bile</t>
  </si>
  <si>
    <t xml:space="preserve">CA37</t>
  </si>
  <si>
    <t xml:space="preserve">CA31</t>
  </si>
  <si>
    <t xml:space="preserve">CA32</t>
  </si>
  <si>
    <t xml:space="preserve">CA33</t>
  </si>
  <si>
    <t xml:space="preserve">CA34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</si>
</sst>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mm/dd/yy"/>
    <numFmt numFmtId="167" formatCode="0.0"/>
    <numFmt numFmtId="168" formatCode="0.000000"/>
    <numFmt numFmtId="169" formatCode="0.000"/>
    <numFmt numFmtId="170" formatCode="m/d/yyyy"/>
    <numFmt numFmtId="171" formatCode="0.00"/>
    <numFmt numFmtId="172" formatCode="0.000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9" tint="-0.25"/>
      <name val="Arial"/>
      <family val="2"/>
      <charset val="1"/>
    </font>
    <font>
      <b val="true"/>
      <sz val="10"/>
      <color theme="9" tint="-0.25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7191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7191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04" activeCellId="0" sqref="C104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false" hidden="false" outlineLevel="0" max="3" min="3" style="2" width="11.53"/>
    <col collapsed="false" customWidth="false" hidden="false" outlineLevel="0" max="7" min="4" style="1" width="11.53"/>
    <col collapsed="false" customWidth="true" hidden="false" outlineLevel="0" max="8" min="8" style="1" width="15.58"/>
    <col collapsed="false" customWidth="true" hidden="false" outlineLevel="0" max="10" min="9" style="1" width="16.12"/>
    <col collapsed="false" customWidth="false" hidden="false" outlineLevel="0" max="16384" min="11" style="1" width="11.53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3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XFA1" s="1"/>
      <c r="XFB1" s="1"/>
      <c r="XFC1" s="1"/>
      <c r="XFD1" s="1"/>
    </row>
    <row r="2" customFormat="false" ht="12.8" hidden="false" customHeight="false" outlineLevel="0" collapsed="false">
      <c r="A2" s="1" t="s">
        <v>168</v>
      </c>
      <c r="B2" s="6" t="n">
        <v>43116</v>
      </c>
      <c r="C2" s="2" t="n">
        <v>1</v>
      </c>
      <c r="D2" s="1" t="s">
        <v>169</v>
      </c>
      <c r="E2" s="1" t="s">
        <v>170</v>
      </c>
      <c r="F2" s="1" t="n">
        <v>24.3</v>
      </c>
      <c r="G2" s="1" t="n">
        <v>139</v>
      </c>
      <c r="H2" s="1" t="n">
        <v>1.1</v>
      </c>
      <c r="I2" s="1" t="n">
        <v>0.79136690647482</v>
      </c>
      <c r="J2" s="1" t="n">
        <v>137.4</v>
      </c>
      <c r="K2" s="1" t="n">
        <f aca="false">G2-J2</f>
        <v>1.59999999999999</v>
      </c>
      <c r="L2" s="1" t="n">
        <v>1.15107913669065</v>
      </c>
      <c r="M2" s="1" t="n">
        <v>0.957564224229762</v>
      </c>
      <c r="N2" s="1" t="n">
        <v>0.00800582241630277</v>
      </c>
      <c r="O2" s="1" t="s">
        <v>171</v>
      </c>
      <c r="P2" s="1" t="n">
        <v>113.1175</v>
      </c>
      <c r="Q2" s="1" t="n">
        <v>0.238341204250295</v>
      </c>
      <c r="R2" s="1" t="n">
        <v>2.36909481963574</v>
      </c>
      <c r="S2" s="1" t="n">
        <v>49.37</v>
      </c>
      <c r="T2" s="1" t="n">
        <v>25.76</v>
      </c>
      <c r="U2" s="1" t="s">
        <v>172</v>
      </c>
      <c r="V2" s="1" t="s">
        <v>173</v>
      </c>
      <c r="W2" s="1" t="s">
        <v>173</v>
      </c>
      <c r="X2" s="1" t="s">
        <v>173</v>
      </c>
      <c r="Y2" s="1" t="s">
        <v>173</v>
      </c>
      <c r="Z2" s="1" t="n">
        <v>0</v>
      </c>
      <c r="AA2" s="1" t="n">
        <v>2333</v>
      </c>
      <c r="AB2" s="1" t="s">
        <v>173</v>
      </c>
      <c r="AC2" s="1" t="n">
        <v>3.15931593159316</v>
      </c>
      <c r="AD2" s="1" t="n">
        <v>1.16907713498623</v>
      </c>
      <c r="AF2" s="1" t="s">
        <v>173</v>
      </c>
      <c r="AG2" s="1" t="s">
        <v>173</v>
      </c>
      <c r="AH2" s="1" t="s">
        <v>173</v>
      </c>
      <c r="AI2" s="1" t="s">
        <v>173</v>
      </c>
      <c r="AJ2" s="1" t="s">
        <v>173</v>
      </c>
      <c r="AK2" s="1" t="s">
        <v>173</v>
      </c>
      <c r="AL2" s="1" t="s">
        <v>173</v>
      </c>
      <c r="AM2" s="1" t="s">
        <v>173</v>
      </c>
      <c r="AN2" s="1" t="n">
        <v>0.039300447632082</v>
      </c>
      <c r="AO2" s="1" t="n">
        <v>0.000714358249662334</v>
      </c>
      <c r="AP2" s="1" t="n">
        <v>0.110421557871367</v>
      </c>
      <c r="AQ2" s="1" t="n">
        <v>10.6361748034376</v>
      </c>
      <c r="AR2" s="1" t="n">
        <v>11.5866121559008</v>
      </c>
      <c r="AS2" s="1" t="n">
        <v>0</v>
      </c>
      <c r="AT2" s="1" t="n">
        <v>0.0438006952491309</v>
      </c>
      <c r="AU2" s="1" t="n">
        <v>0.432444959443801</v>
      </c>
      <c r="AV2" s="1" t="n">
        <v>0</v>
      </c>
      <c r="AW2" s="1" t="n">
        <v>0.0194669756662804</v>
      </c>
      <c r="AX2" s="1" t="n">
        <v>0.420162224797219</v>
      </c>
      <c r="AY2" s="1" t="n">
        <v>0.124436364287388</v>
      </c>
      <c r="AZ2" s="1" t="n">
        <v>0.25098493626883</v>
      </c>
      <c r="BA2" s="1" t="n">
        <v>3.67323290845886</v>
      </c>
      <c r="BB2" s="1" t="n">
        <v>1.53628205981458</v>
      </c>
      <c r="BC2" s="1" t="n">
        <v>0.593974507531866</v>
      </c>
      <c r="BD2" s="1" t="n">
        <v>0.188018539976825</v>
      </c>
      <c r="BE2" s="1" t="n">
        <v>0.303128621089224</v>
      </c>
      <c r="BF2" s="1" t="n">
        <v>0.915874855156431</v>
      </c>
      <c r="BG2" s="1" t="n">
        <v>6.67005793742758</v>
      </c>
      <c r="BH2" s="1" t="n">
        <v>0.48342989571263</v>
      </c>
      <c r="BI2" s="1" t="n">
        <v>7.10250289687138</v>
      </c>
      <c r="BJ2" s="1" t="n">
        <v>0.971596998928189</v>
      </c>
      <c r="BK2" s="1" t="n">
        <v>7.58593279258401</v>
      </c>
    </row>
    <row r="3" customFormat="false" ht="12.8" hidden="false" customHeight="false" outlineLevel="0" collapsed="false">
      <c r="A3" s="1" t="s">
        <v>174</v>
      </c>
      <c r="B3" s="6" t="n">
        <v>43116</v>
      </c>
      <c r="C3" s="2" t="n">
        <v>1</v>
      </c>
      <c r="D3" s="1" t="s">
        <v>169</v>
      </c>
      <c r="E3" s="1" t="s">
        <v>175</v>
      </c>
      <c r="F3" s="1" t="n">
        <v>30.5</v>
      </c>
      <c r="G3" s="1" t="n">
        <v>251</v>
      </c>
      <c r="H3" s="1" t="n">
        <v>4</v>
      </c>
      <c r="I3" s="1" t="n">
        <v>1.59362549800797</v>
      </c>
      <c r="J3" s="1" t="n">
        <v>233.8</v>
      </c>
      <c r="K3" s="1" t="n">
        <f aca="false">G3-J3</f>
        <v>17.2</v>
      </c>
      <c r="L3" s="1" t="n">
        <v>6.85258964143426</v>
      </c>
      <c r="M3" s="1" t="n">
        <v>0.824033729695437</v>
      </c>
      <c r="N3" s="1" t="n">
        <v>0.0171086398631309</v>
      </c>
      <c r="P3" s="1" t="s">
        <v>173</v>
      </c>
      <c r="Q3" s="1" t="n">
        <v>0.246263259402122</v>
      </c>
      <c r="R3" s="1" t="n">
        <v>1.22735604801171</v>
      </c>
      <c r="S3" s="1" t="n">
        <v>59.22</v>
      </c>
      <c r="T3" s="1" t="s">
        <v>173</v>
      </c>
      <c r="U3" s="1" t="s">
        <v>173</v>
      </c>
      <c r="V3" s="1" t="s">
        <v>173</v>
      </c>
      <c r="W3" s="1" t="s">
        <v>173</v>
      </c>
      <c r="X3" s="1" t="s">
        <v>173</v>
      </c>
      <c r="Y3" s="1" t="s">
        <v>173</v>
      </c>
      <c r="Z3" s="1" t="n">
        <v>0</v>
      </c>
      <c r="AA3" s="1" t="s">
        <v>173</v>
      </c>
      <c r="AB3" s="1" t="n">
        <v>1467</v>
      </c>
      <c r="AC3" s="1" t="n">
        <v>1.64665523156089</v>
      </c>
      <c r="AD3" s="1" t="n">
        <v>0.586547291092746</v>
      </c>
      <c r="AE3" s="1" t="n">
        <v>1.06357978236199</v>
      </c>
      <c r="AF3" s="1" t="n">
        <v>2</v>
      </c>
      <c r="AG3" s="1" t="n">
        <v>113</v>
      </c>
      <c r="AH3" s="1" t="n">
        <v>54</v>
      </c>
      <c r="AI3" s="1" t="n">
        <v>23</v>
      </c>
      <c r="AJ3" s="1" t="n">
        <v>36</v>
      </c>
      <c r="AK3" s="1" t="n">
        <v>0</v>
      </c>
      <c r="AL3" s="1" t="n">
        <v>0</v>
      </c>
      <c r="AM3" s="1" t="n">
        <v>1.84070796460177</v>
      </c>
      <c r="AN3" s="1" t="n">
        <v>0.0674724473318886</v>
      </c>
      <c r="AO3" s="1" t="n">
        <v>0.00128084833388917</v>
      </c>
      <c r="AP3" s="1" t="n">
        <v>0.0792228472235367</v>
      </c>
      <c r="AQ3" s="1" t="n">
        <v>11.5961748034376</v>
      </c>
      <c r="AR3" s="1" t="n">
        <v>5.16661215590079</v>
      </c>
      <c r="AS3" s="1" t="n">
        <v>0.0232900943396226</v>
      </c>
      <c r="AT3" s="1" t="n">
        <v>0.125235849056604</v>
      </c>
      <c r="AU3" s="1" t="n">
        <v>0.428537735849057</v>
      </c>
      <c r="AV3" s="1" t="n">
        <v>0</v>
      </c>
      <c r="AW3" s="1" t="n">
        <v>0.0613207547169811</v>
      </c>
      <c r="AX3" s="1" t="n">
        <v>0.405424528301887</v>
      </c>
      <c r="AY3" s="1" t="n">
        <v>0.0464622641509434</v>
      </c>
      <c r="AZ3" s="1" t="n">
        <v>0.116509433962264</v>
      </c>
      <c r="BA3" s="1" t="n">
        <v>3.55188679245283</v>
      </c>
      <c r="BB3" s="1" t="n">
        <v>1.35518867924528</v>
      </c>
      <c r="BC3" s="1" t="n">
        <v>0.799528301886792</v>
      </c>
      <c r="BD3" s="1" t="n">
        <v>0.30188679245283</v>
      </c>
      <c r="BE3" s="1" t="n">
        <v>0.277830188679245</v>
      </c>
      <c r="BF3" s="1" t="n">
        <v>1.04380896226415</v>
      </c>
      <c r="BG3" s="1" t="n">
        <v>6.44929245283019</v>
      </c>
      <c r="BH3" s="1" t="n">
        <v>0.615271226415094</v>
      </c>
      <c r="BI3" s="1" t="n">
        <v>6.87783018867925</v>
      </c>
      <c r="BJ3" s="1" t="n">
        <v>0.946064942212438</v>
      </c>
      <c r="BK3" s="1" t="n">
        <v>7.49310141509434</v>
      </c>
    </row>
    <row r="4" customFormat="false" ht="12.8" hidden="false" customHeight="false" outlineLevel="0" collapsed="false">
      <c r="A4" s="1" t="s">
        <v>176</v>
      </c>
      <c r="B4" s="6" t="n">
        <v>43116</v>
      </c>
      <c r="C4" s="2" t="n">
        <v>1</v>
      </c>
      <c r="D4" s="1" t="s">
        <v>169</v>
      </c>
      <c r="E4" s="1" t="s">
        <v>175</v>
      </c>
      <c r="F4" s="1" t="n">
        <v>27.2</v>
      </c>
      <c r="G4" s="1" t="n">
        <v>214</v>
      </c>
      <c r="H4" s="1" t="n">
        <v>3.4</v>
      </c>
      <c r="I4" s="1" t="n">
        <v>1.58878504672897</v>
      </c>
      <c r="J4" s="1" t="n">
        <v>195.7</v>
      </c>
      <c r="K4" s="1" t="n">
        <f aca="false">G4-J4</f>
        <v>18.3</v>
      </c>
      <c r="L4" s="1" t="n">
        <v>8.55140186915888</v>
      </c>
      <c r="M4" s="1" t="n">
        <v>0.972487692092408</v>
      </c>
      <c r="N4" s="1" t="n">
        <v>0.0173735309146653</v>
      </c>
      <c r="O4" s="1" t="s">
        <v>177</v>
      </c>
      <c r="P4" s="1" t="n">
        <v>80.863041921942</v>
      </c>
      <c r="Q4" s="1" t="n">
        <v>0.292138475340672</v>
      </c>
      <c r="R4" s="1" t="n">
        <v>0.948359456684867</v>
      </c>
      <c r="S4" s="1" t="n">
        <v>51.24</v>
      </c>
      <c r="T4" s="1" t="s">
        <v>173</v>
      </c>
      <c r="U4" s="1" t="s">
        <v>173</v>
      </c>
      <c r="V4" s="1" t="s">
        <v>173</v>
      </c>
      <c r="W4" s="1" t="s">
        <v>173</v>
      </c>
      <c r="X4" s="1" t="s">
        <v>173</v>
      </c>
      <c r="Y4" s="1" t="s">
        <v>173</v>
      </c>
      <c r="Z4" s="1" t="n">
        <v>0</v>
      </c>
      <c r="AA4" s="1" t="s">
        <v>173</v>
      </c>
      <c r="AB4" s="1" t="n">
        <v>2361</v>
      </c>
      <c r="AC4" s="1" t="n">
        <v>2.5802752293578</v>
      </c>
      <c r="AD4" s="1" t="n">
        <v>1.01239669421488</v>
      </c>
      <c r="AE4" s="1" t="n">
        <v>0.653458202904346</v>
      </c>
      <c r="AF4" s="1" t="n">
        <v>2</v>
      </c>
      <c r="AG4" s="1" t="n">
        <v>96</v>
      </c>
      <c r="AH4" s="1" t="n">
        <v>40</v>
      </c>
      <c r="AI4" s="1" t="n">
        <v>22</v>
      </c>
      <c r="AJ4" s="1" t="n">
        <v>34</v>
      </c>
      <c r="AK4" s="1" t="n">
        <v>0</v>
      </c>
      <c r="AL4" s="1" t="n">
        <v>0</v>
      </c>
      <c r="AM4" s="1" t="n">
        <v>1.9375</v>
      </c>
      <c r="AN4" s="1" t="n">
        <v>0.0523975457953051</v>
      </c>
      <c r="AO4" s="1" t="n">
        <v>0.000988866394607846</v>
      </c>
      <c r="AP4" s="1" t="n">
        <v>0.0976868485799037</v>
      </c>
      <c r="AQ4" s="1" t="n">
        <v>17.7961748034376</v>
      </c>
      <c r="AR4" s="1" t="n">
        <v>10.1866121559008</v>
      </c>
      <c r="AS4" s="1" t="n">
        <v>0.029987400251995</v>
      </c>
      <c r="AT4" s="1" t="n">
        <v>0.0425871482570349</v>
      </c>
      <c r="AU4" s="1" t="n">
        <v>0.470726585468291</v>
      </c>
      <c r="AV4" s="1" t="n">
        <v>0</v>
      </c>
      <c r="AW4" s="1" t="n">
        <v>0.103821923561529</v>
      </c>
      <c r="AX4" s="1" t="n">
        <v>1.40764384712306</v>
      </c>
      <c r="AY4" s="1" t="n">
        <v>0.0566988660226795</v>
      </c>
      <c r="AZ4" s="1" t="n">
        <v>0.144645107097858</v>
      </c>
      <c r="BA4" s="1" t="n">
        <v>3.46241075178496</v>
      </c>
      <c r="BB4" s="1" t="n">
        <v>1.87207055858883</v>
      </c>
      <c r="BC4" s="1" t="n">
        <v>0.722721545569089</v>
      </c>
      <c r="BD4" s="1" t="n">
        <v>0.258546829063419</v>
      </c>
      <c r="BE4" s="1" t="n">
        <v>0.212683746325074</v>
      </c>
      <c r="BF4" s="1" t="n">
        <v>2.05476690466191</v>
      </c>
      <c r="BG4" s="1" t="n">
        <v>6.72977740445191</v>
      </c>
      <c r="BH4" s="1" t="n">
        <v>1.58404031919362</v>
      </c>
      <c r="BI4" s="1" t="n">
        <v>7.2005039899202</v>
      </c>
      <c r="BJ4" s="1" t="n">
        <v>2.99036402569593</v>
      </c>
      <c r="BK4" s="1" t="n">
        <v>8.78454430911382</v>
      </c>
    </row>
    <row r="5" customFormat="false" ht="12.8" hidden="false" customHeight="false" outlineLevel="0" collapsed="false">
      <c r="A5" s="1" t="s">
        <v>178</v>
      </c>
      <c r="B5" s="6" t="n">
        <v>43116</v>
      </c>
      <c r="C5" s="2" t="n">
        <v>1</v>
      </c>
      <c r="D5" s="1" t="s">
        <v>169</v>
      </c>
      <c r="E5" s="1" t="s">
        <v>175</v>
      </c>
      <c r="F5" s="1" t="n">
        <v>30</v>
      </c>
      <c r="G5" s="1" t="n">
        <v>222</v>
      </c>
      <c r="H5" s="1" t="n">
        <v>4.1</v>
      </c>
      <c r="I5" s="1" t="n">
        <v>1.84684684684685</v>
      </c>
      <c r="J5" s="1" t="n">
        <v>199.9</v>
      </c>
      <c r="K5" s="1" t="n">
        <f aca="false">G5-J5</f>
        <v>22.1</v>
      </c>
      <c r="L5" s="1" t="n">
        <v>9.95495495495496</v>
      </c>
      <c r="M5" s="1" t="n">
        <v>0.74037037037037</v>
      </c>
      <c r="N5" s="1" t="n">
        <v>0.0205102551275638</v>
      </c>
      <c r="O5" s="1" t="s">
        <v>179</v>
      </c>
      <c r="P5" s="1" t="n">
        <v>57.3429129197541</v>
      </c>
      <c r="Q5" s="1" t="n">
        <v>0.314242077987512</v>
      </c>
      <c r="R5" s="1" t="n">
        <v>1.85430422642291</v>
      </c>
      <c r="S5" s="1" t="n">
        <v>57.63</v>
      </c>
      <c r="T5" s="1" t="s">
        <v>173</v>
      </c>
      <c r="U5" s="1" t="s">
        <v>173</v>
      </c>
      <c r="V5" s="1" t="s">
        <v>173</v>
      </c>
      <c r="W5" s="1" t="s">
        <v>173</v>
      </c>
      <c r="X5" s="1" t="s">
        <v>173</v>
      </c>
      <c r="Y5" s="1" t="s">
        <v>173</v>
      </c>
      <c r="Z5" s="1" t="n">
        <v>0</v>
      </c>
      <c r="AA5" s="1" t="s">
        <v>173</v>
      </c>
      <c r="AB5" s="1" t="n">
        <v>4381</v>
      </c>
      <c r="AC5" s="1" t="n">
        <v>2.46260683760684</v>
      </c>
      <c r="AD5" s="1" t="n">
        <v>1.57483930211203</v>
      </c>
      <c r="AE5" s="1" t="n">
        <v>0.00558053203326511</v>
      </c>
      <c r="AF5" s="1" t="n">
        <v>2</v>
      </c>
      <c r="AG5" s="1" t="n">
        <v>140</v>
      </c>
      <c r="AH5" s="1" t="n">
        <v>81</v>
      </c>
      <c r="AI5" s="1" t="n">
        <v>16</v>
      </c>
      <c r="AJ5" s="1" t="n">
        <v>42</v>
      </c>
      <c r="AK5" s="1" t="n">
        <v>0</v>
      </c>
      <c r="AL5" s="1" t="n">
        <v>1</v>
      </c>
      <c r="AM5" s="1" t="n">
        <v>1.71942446043165</v>
      </c>
      <c r="AN5" s="1" t="n">
        <v>0.0473620779155859</v>
      </c>
      <c r="AO5" s="1" t="n">
        <v>0.00123975722038173</v>
      </c>
      <c r="AP5" s="1" t="n">
        <v>0.11088897527931</v>
      </c>
      <c r="AQ5" s="1" t="n">
        <v>10.6361748034376</v>
      </c>
      <c r="AR5" s="1" t="n">
        <v>7.42661215590079</v>
      </c>
      <c r="AS5" s="1" t="n">
        <v>0.0306034482758621</v>
      </c>
      <c r="AT5" s="1" t="n">
        <v>0.0323275862068966</v>
      </c>
      <c r="AU5" s="1" t="n">
        <v>0.529094827586207</v>
      </c>
      <c r="AV5" s="1" t="n">
        <v>0</v>
      </c>
      <c r="AW5" s="1" t="n">
        <v>0.0512931034482759</v>
      </c>
      <c r="AX5" s="1" t="n">
        <v>0.15301724137931</v>
      </c>
      <c r="AY5" s="1" t="n">
        <v>0.121336206896552</v>
      </c>
      <c r="AZ5" s="1" t="n">
        <v>0.254525862068966</v>
      </c>
      <c r="BA5" s="1" t="n">
        <v>4.8448275862069</v>
      </c>
      <c r="BB5" s="1" t="n">
        <v>1.90905172413793</v>
      </c>
      <c r="BC5" s="1" t="n">
        <v>0.783405172413793</v>
      </c>
      <c r="BD5" s="1" t="n">
        <v>0.327370689655172</v>
      </c>
      <c r="BE5" s="1" t="n">
        <v>0.674784482758621</v>
      </c>
      <c r="BF5" s="1" t="n">
        <v>0.796336206896552</v>
      </c>
      <c r="BG5" s="1" t="n">
        <v>8.91530172413793</v>
      </c>
      <c r="BH5" s="1" t="n">
        <v>0.267241379310345</v>
      </c>
      <c r="BI5" s="1" t="n">
        <v>9.44439655172414</v>
      </c>
      <c r="BJ5" s="1" t="n">
        <v>0.289205702647658</v>
      </c>
      <c r="BK5" s="1" t="n">
        <v>9.71163793103449</v>
      </c>
    </row>
    <row r="6" customFormat="false" ht="12.8" hidden="false" customHeight="false" outlineLevel="0" collapsed="false">
      <c r="A6" s="1" t="s">
        <v>180</v>
      </c>
      <c r="B6" s="6" t="n">
        <v>43116</v>
      </c>
      <c r="C6" s="2" t="n">
        <v>1</v>
      </c>
      <c r="D6" s="1" t="s">
        <v>169</v>
      </c>
      <c r="E6" s="1" t="s">
        <v>175</v>
      </c>
      <c r="F6" s="1" t="n">
        <v>30</v>
      </c>
      <c r="G6" s="1" t="n">
        <v>268</v>
      </c>
      <c r="H6" s="1" t="n">
        <v>5.5</v>
      </c>
      <c r="I6" s="1" t="n">
        <v>2.05223880597015</v>
      </c>
      <c r="J6" s="1" t="n">
        <v>231.1</v>
      </c>
      <c r="K6" s="1" t="n">
        <f aca="false">G6-J6</f>
        <v>36.9</v>
      </c>
      <c r="L6" s="1" t="n">
        <v>13.7686567164179</v>
      </c>
      <c r="M6" s="1" t="n">
        <v>0.855925925925926</v>
      </c>
      <c r="N6" s="1" t="n">
        <v>0.0237992211163998</v>
      </c>
      <c r="P6" s="1" t="n">
        <v>93.5714978585757</v>
      </c>
      <c r="Q6" s="1" t="n">
        <v>0.390559656854225</v>
      </c>
      <c r="R6" s="1" t="n">
        <v>1.09724116995169</v>
      </c>
      <c r="S6" s="1" t="n">
        <v>51.81</v>
      </c>
      <c r="T6" s="1" t="s">
        <v>173</v>
      </c>
      <c r="U6" s="1" t="s">
        <v>173</v>
      </c>
      <c r="V6" s="1" t="s">
        <v>173</v>
      </c>
      <c r="W6" s="1" t="s">
        <v>173</v>
      </c>
      <c r="X6" s="1" t="s">
        <v>173</v>
      </c>
      <c r="Y6" s="1" t="s">
        <v>173</v>
      </c>
      <c r="Z6" s="1" t="n">
        <v>3</v>
      </c>
      <c r="AA6" s="1" t="s">
        <v>173</v>
      </c>
      <c r="AB6" s="1" t="n">
        <v>2360</v>
      </c>
      <c r="AC6" s="1" t="n">
        <v>2.11260330578512</v>
      </c>
      <c r="AD6" s="1" t="n">
        <v>0.94811753902663</v>
      </c>
      <c r="AE6" s="1" t="n">
        <v>0.396781090049168</v>
      </c>
      <c r="AF6" s="1" t="n">
        <v>2</v>
      </c>
      <c r="AG6" s="1" t="n">
        <v>139</v>
      </c>
      <c r="AH6" s="1" t="n">
        <v>53</v>
      </c>
      <c r="AI6" s="1" t="n">
        <v>18</v>
      </c>
      <c r="AJ6" s="1" t="n">
        <v>63</v>
      </c>
      <c r="AK6" s="1" t="n">
        <v>0</v>
      </c>
      <c r="AL6" s="1" t="n">
        <v>5</v>
      </c>
      <c r="AM6" s="1" t="n">
        <v>2.07462686567164</v>
      </c>
      <c r="AN6" s="1" t="n">
        <v>0.191389844397196</v>
      </c>
      <c r="AO6" s="1" t="n">
        <v>0.00201657631656182</v>
      </c>
      <c r="AP6" s="1" t="n">
        <v>0.12063515444522</v>
      </c>
      <c r="AQ6" s="1" t="n">
        <v>6.63617480343756</v>
      </c>
      <c r="AR6" s="1" t="n">
        <v>6.82661215590079</v>
      </c>
      <c r="AS6" s="1" t="n">
        <v>0.0623376623376623</v>
      </c>
      <c r="AT6" s="1" t="n">
        <v>0.0482517482517483</v>
      </c>
      <c r="AU6" s="1" t="n">
        <v>0.454645354645355</v>
      </c>
      <c r="AV6" s="1" t="n">
        <v>0</v>
      </c>
      <c r="AW6" s="1" t="n">
        <v>0.0908091908091908</v>
      </c>
      <c r="AX6" s="1" t="n">
        <v>1.28151848151848</v>
      </c>
      <c r="AY6" s="1" t="n">
        <v>0.0695304695304695</v>
      </c>
      <c r="AZ6" s="1" t="n">
        <v>0.202297702297702</v>
      </c>
      <c r="BA6" s="1" t="n">
        <v>3.98001998001998</v>
      </c>
      <c r="BB6" s="1" t="n">
        <v>1.7046953046953</v>
      </c>
      <c r="BC6" s="1" t="n">
        <v>0.861938061938062</v>
      </c>
      <c r="BD6" s="1" t="n">
        <v>0.35034965034965</v>
      </c>
      <c r="BE6" s="1" t="n">
        <v>0.38001998001998</v>
      </c>
      <c r="BF6" s="1" t="n">
        <v>1.93756243756244</v>
      </c>
      <c r="BG6" s="1" t="n">
        <v>7.54885114885115</v>
      </c>
      <c r="BH6" s="1" t="n">
        <v>1.48291708291708</v>
      </c>
      <c r="BI6" s="1" t="n">
        <v>8.0034965034965</v>
      </c>
      <c r="BJ6" s="1" t="n">
        <v>2.81872116018458</v>
      </c>
      <c r="BK6" s="1" t="n">
        <v>9.48641358641359</v>
      </c>
    </row>
    <row r="7" customFormat="false" ht="12.8" hidden="false" customHeight="false" outlineLevel="0" collapsed="false">
      <c r="A7" s="1" t="s">
        <v>181</v>
      </c>
      <c r="B7" s="6" t="n">
        <v>43116</v>
      </c>
      <c r="C7" s="2" t="n">
        <v>1</v>
      </c>
      <c r="D7" s="1" t="s">
        <v>169</v>
      </c>
      <c r="E7" s="1" t="s">
        <v>175</v>
      </c>
      <c r="F7" s="1" t="n">
        <v>31.6</v>
      </c>
      <c r="G7" s="1" t="n">
        <v>328</v>
      </c>
      <c r="H7" s="1" t="n">
        <v>6.9</v>
      </c>
      <c r="I7" s="1" t="n">
        <v>2.10365853658537</v>
      </c>
      <c r="J7" s="1" t="n">
        <v>289.6</v>
      </c>
      <c r="K7" s="1" t="n">
        <f aca="false">G7-J7</f>
        <v>38.4</v>
      </c>
      <c r="L7" s="1" t="n">
        <v>11.7073170731707</v>
      </c>
      <c r="M7" s="1" t="n">
        <v>0.917777295508063</v>
      </c>
      <c r="N7" s="1" t="n">
        <v>0.0238259668508287</v>
      </c>
      <c r="P7" s="1" t="s">
        <v>173</v>
      </c>
      <c r="Q7" s="1" t="n">
        <v>0.418197015214653</v>
      </c>
      <c r="R7" s="1" t="n">
        <v>1.22608746294917</v>
      </c>
      <c r="S7" s="1" t="n">
        <v>51.11</v>
      </c>
      <c r="T7" s="1" t="s">
        <v>173</v>
      </c>
      <c r="U7" s="1" t="s">
        <v>182</v>
      </c>
      <c r="V7" s="1" t="s">
        <v>173</v>
      </c>
      <c r="W7" s="1" t="s">
        <v>173</v>
      </c>
      <c r="X7" s="1" t="s">
        <v>173</v>
      </c>
      <c r="Y7" s="1" t="s">
        <v>173</v>
      </c>
      <c r="Z7" s="1" t="n">
        <v>0</v>
      </c>
      <c r="AA7" s="1" t="s">
        <v>173</v>
      </c>
      <c r="AB7" s="1" t="n">
        <v>1249</v>
      </c>
      <c r="AC7" s="1" t="n">
        <v>1.84734513274336</v>
      </c>
      <c r="AD7" s="1" t="n">
        <v>0.899908172635446</v>
      </c>
      <c r="AE7" s="1" t="n">
        <v>0.249957246474992</v>
      </c>
      <c r="AF7" s="1" t="n">
        <v>2</v>
      </c>
      <c r="AG7" s="1" t="n">
        <v>95</v>
      </c>
      <c r="AH7" s="1" t="n">
        <v>29</v>
      </c>
      <c r="AI7" s="1" t="n">
        <v>18</v>
      </c>
      <c r="AJ7" s="1" t="n">
        <v>48</v>
      </c>
      <c r="AK7" s="1" t="n">
        <v>0</v>
      </c>
      <c r="AL7" s="1" t="n">
        <v>0</v>
      </c>
      <c r="AM7" s="1" t="n">
        <v>2.2</v>
      </c>
      <c r="AN7" s="1" t="n">
        <v>0.100173666666624</v>
      </c>
      <c r="AO7" s="1" t="n">
        <v>0.00176666838115314</v>
      </c>
      <c r="AP7" s="1" t="n">
        <v>0.0824407865511642</v>
      </c>
      <c r="AQ7" s="1" t="n">
        <v>7.43617480343756</v>
      </c>
      <c r="AR7" s="1" t="n">
        <v>8.08661215590079</v>
      </c>
      <c r="AS7" s="1" t="n">
        <v>0.0138642019196587</v>
      </c>
      <c r="AT7" s="1" t="n">
        <v>0.0127977248489157</v>
      </c>
      <c r="AU7" s="1" t="n">
        <v>0.380945609669392</v>
      </c>
      <c r="AV7" s="1" t="n">
        <v>0</v>
      </c>
      <c r="AW7" s="1" t="n">
        <v>0.129470316388198</v>
      </c>
      <c r="AX7" s="1" t="n">
        <v>0.428723782438678</v>
      </c>
      <c r="AY7" s="1" t="n">
        <v>0</v>
      </c>
      <c r="AZ7" s="1" t="n">
        <v>0.167714184145041</v>
      </c>
      <c r="BA7" s="1" t="n">
        <v>1.66988979736936</v>
      </c>
      <c r="BB7" s="1" t="n">
        <v>0.410806967650196</v>
      </c>
      <c r="BC7" s="1" t="n">
        <v>0.237824386775684</v>
      </c>
      <c r="BD7" s="1" t="n">
        <v>0.0407394241023818</v>
      </c>
      <c r="BE7" s="1" t="n">
        <v>0.101315321720583</v>
      </c>
      <c r="BF7" s="1" t="n">
        <v>0.965801635264842</v>
      </c>
      <c r="BG7" s="1" t="n">
        <v>2.62829008176324</v>
      </c>
      <c r="BH7" s="1" t="n">
        <v>0.58485602559545</v>
      </c>
      <c r="BI7" s="1" t="n">
        <v>3.00923569143263</v>
      </c>
      <c r="BJ7" s="1" t="n">
        <v>1.12541993281075</v>
      </c>
      <c r="BK7" s="1" t="n">
        <v>3.59409171702808</v>
      </c>
    </row>
    <row r="8" customFormat="false" ht="12.8" hidden="false" customHeight="false" outlineLevel="0" collapsed="false">
      <c r="A8" s="1" t="s">
        <v>183</v>
      </c>
      <c r="B8" s="6" t="n">
        <v>43116</v>
      </c>
      <c r="C8" s="2" t="n">
        <v>1</v>
      </c>
      <c r="D8" s="1" t="s">
        <v>169</v>
      </c>
      <c r="E8" s="1" t="s">
        <v>175</v>
      </c>
      <c r="F8" s="1" t="n">
        <v>31.6</v>
      </c>
      <c r="G8" s="1" t="n">
        <v>339</v>
      </c>
      <c r="H8" s="1" t="n">
        <v>5.8</v>
      </c>
      <c r="I8" s="1" t="n">
        <v>1.71091445427729</v>
      </c>
      <c r="J8" s="1" t="n">
        <v>294.1</v>
      </c>
      <c r="K8" s="1" t="n">
        <f aca="false">G8-J8</f>
        <v>44.9</v>
      </c>
      <c r="L8" s="1" t="n">
        <v>13.2448377581121</v>
      </c>
      <c r="M8" s="1" t="n">
        <v>0.932038337737988</v>
      </c>
      <c r="N8" s="1" t="n">
        <v>0.0197211832709963</v>
      </c>
      <c r="O8" s="1" t="s">
        <v>184</v>
      </c>
      <c r="P8" s="1" t="n">
        <v>91.5504372657645</v>
      </c>
      <c r="Q8" s="1" t="n">
        <v>0.352091386894674</v>
      </c>
      <c r="R8" s="1" t="n">
        <v>0.75865386986178</v>
      </c>
      <c r="S8" s="1" t="n">
        <v>51.97</v>
      </c>
      <c r="T8" s="1" t="s">
        <v>173</v>
      </c>
      <c r="U8" s="1" t="s">
        <v>173</v>
      </c>
      <c r="V8" s="1" t="s">
        <v>173</v>
      </c>
      <c r="W8" s="1" t="s">
        <v>185</v>
      </c>
      <c r="Z8" s="1" t="n">
        <v>1</v>
      </c>
      <c r="AA8" s="1" t="s">
        <v>173</v>
      </c>
      <c r="AB8" s="1" t="n">
        <v>6165</v>
      </c>
      <c r="AC8" s="1" t="n">
        <v>2.68048128342246</v>
      </c>
      <c r="AD8" s="1" t="n">
        <v>1.03650137741047</v>
      </c>
      <c r="AF8" s="1" t="n">
        <v>2</v>
      </c>
      <c r="AG8" s="1" t="n">
        <v>110</v>
      </c>
      <c r="AH8" s="1" t="n">
        <v>43</v>
      </c>
      <c r="AI8" s="1" t="n">
        <v>14</v>
      </c>
      <c r="AJ8" s="1" t="n">
        <v>51</v>
      </c>
      <c r="AK8" s="1" t="n">
        <v>0</v>
      </c>
      <c r="AL8" s="1" t="n">
        <v>2</v>
      </c>
      <c r="AM8" s="1" t="n">
        <v>2.07407407407407</v>
      </c>
      <c r="AN8" s="1" t="n">
        <v>0.0272380387061103</v>
      </c>
      <c r="AO8" s="1" t="n">
        <v>0.00100323571425697</v>
      </c>
      <c r="AP8" s="1" t="n">
        <v>0.136154200383656</v>
      </c>
      <c r="AQ8" s="1" t="n">
        <v>14.7561748034376</v>
      </c>
      <c r="AR8" s="1" t="n">
        <v>7.32661215590079</v>
      </c>
      <c r="AS8" s="1" t="n">
        <v>0.0250470101541933</v>
      </c>
      <c r="AT8" s="1" t="n">
        <v>0.042647611884167</v>
      </c>
      <c r="AU8" s="1" t="n">
        <v>0.485370440015043</v>
      </c>
      <c r="AV8" s="1" t="n">
        <v>0</v>
      </c>
      <c r="AW8" s="1" t="n">
        <v>0.0566378337720948</v>
      </c>
      <c r="AX8" s="1" t="n">
        <v>0.243249341857841</v>
      </c>
      <c r="AY8" s="1" t="n">
        <v>0.0318164723580293</v>
      </c>
      <c r="AZ8" s="1" t="n">
        <v>0.230161714930425</v>
      </c>
      <c r="BA8" s="1" t="n">
        <v>3.59458443023693</v>
      </c>
      <c r="BB8" s="1" t="n">
        <v>1.61158330199323</v>
      </c>
      <c r="BC8" s="1" t="n">
        <v>0.545618653629184</v>
      </c>
      <c r="BD8" s="1" t="n">
        <v>0.263783377209477</v>
      </c>
      <c r="BE8" s="1" t="n">
        <v>0.412034599473486</v>
      </c>
      <c r="BF8" s="1" t="n">
        <v>0.85295223768334</v>
      </c>
      <c r="BG8" s="1" t="n">
        <v>6.68958254983077</v>
      </c>
      <c r="BH8" s="1" t="n">
        <v>0.367581797668296</v>
      </c>
      <c r="BI8" s="1" t="n">
        <v>7.17495298984581</v>
      </c>
      <c r="BJ8" s="1" t="n">
        <v>0.501162250116225</v>
      </c>
      <c r="BK8" s="1" t="n">
        <v>7.5425347875141</v>
      </c>
    </row>
    <row r="9" customFormat="false" ht="12.8" hidden="false" customHeight="false" outlineLevel="0" collapsed="false">
      <c r="A9" s="1" t="s">
        <v>186</v>
      </c>
      <c r="B9" s="6" t="n">
        <v>43116</v>
      </c>
      <c r="C9" s="2" t="n">
        <v>1</v>
      </c>
      <c r="D9" s="1" t="s">
        <v>169</v>
      </c>
      <c r="E9" s="1" t="s">
        <v>175</v>
      </c>
      <c r="F9" s="1" t="n">
        <v>29.5</v>
      </c>
      <c r="G9" s="1" t="n">
        <v>293</v>
      </c>
      <c r="H9" s="1" t="n">
        <v>4.9</v>
      </c>
      <c r="I9" s="1" t="n">
        <v>1.67235494880546</v>
      </c>
      <c r="J9" s="1" t="n">
        <v>243.6</v>
      </c>
      <c r="K9" s="1" t="n">
        <f aca="false">G9-J9</f>
        <v>49.4</v>
      </c>
      <c r="L9" s="1" t="n">
        <v>16.8600682593857</v>
      </c>
      <c r="M9" s="1" t="n">
        <v>0.948879875741921</v>
      </c>
      <c r="N9" s="1" t="n">
        <v>0.0201149425287356</v>
      </c>
      <c r="P9" s="1" t="n">
        <v>118.052372862942</v>
      </c>
      <c r="Q9" s="1" t="n">
        <v>0.247700719377077</v>
      </c>
      <c r="R9" s="1" t="n">
        <v>0.697902048284353</v>
      </c>
      <c r="S9" s="1" t="n">
        <v>34.83</v>
      </c>
      <c r="T9" s="1" t="s">
        <v>173</v>
      </c>
      <c r="U9" s="1" t="s">
        <v>173</v>
      </c>
      <c r="V9" s="1" t="s">
        <v>173</v>
      </c>
      <c r="W9" s="1" t="s">
        <v>173</v>
      </c>
      <c r="X9" s="1" t="s">
        <v>173</v>
      </c>
      <c r="Y9" s="1" t="s">
        <v>173</v>
      </c>
      <c r="Z9" s="1" t="n">
        <v>0</v>
      </c>
      <c r="AA9" s="1" t="s">
        <v>173</v>
      </c>
      <c r="AB9" s="1" t="n">
        <v>3727</v>
      </c>
      <c r="AC9" s="1" t="n">
        <v>2.44742990654206</v>
      </c>
      <c r="AD9" s="1" t="n">
        <v>1.20523415977961</v>
      </c>
      <c r="AE9" s="1" t="n">
        <v>0.995881902443468</v>
      </c>
      <c r="AF9" s="1" t="n">
        <v>2</v>
      </c>
      <c r="AG9" s="1" t="n">
        <v>112</v>
      </c>
      <c r="AH9" s="1" t="n">
        <v>34</v>
      </c>
      <c r="AI9" s="1" t="n">
        <v>14</v>
      </c>
      <c r="AJ9" s="1" t="n">
        <v>64</v>
      </c>
      <c r="AK9" s="1" t="n">
        <v>0</v>
      </c>
      <c r="AL9" s="1" t="n">
        <v>0</v>
      </c>
      <c r="AM9" s="1" t="n">
        <v>2.26785714285714</v>
      </c>
      <c r="AN9" s="1" t="n">
        <v>0.0544767808878803</v>
      </c>
      <c r="AO9" s="1" t="n">
        <v>0.00150372646796996</v>
      </c>
      <c r="AP9" s="1" t="n">
        <v>0.0941738018329732</v>
      </c>
      <c r="AQ9" s="1" t="n">
        <v>11.1161748034375</v>
      </c>
      <c r="AR9" s="1" t="n">
        <v>10.5666121559008</v>
      </c>
      <c r="AS9" s="1" t="n">
        <v>0.0318416801292407</v>
      </c>
      <c r="AT9" s="1" t="n">
        <v>0.141033925686591</v>
      </c>
      <c r="AU9" s="1" t="n">
        <v>0.444668820678514</v>
      </c>
      <c r="AV9" s="1" t="n">
        <v>0</v>
      </c>
      <c r="AW9" s="1" t="n">
        <v>0.113166397415186</v>
      </c>
      <c r="AX9" s="1" t="n">
        <v>0.353311793214863</v>
      </c>
      <c r="AY9" s="1" t="n">
        <v>0</v>
      </c>
      <c r="AZ9" s="1" t="n">
        <v>0.223667205169628</v>
      </c>
      <c r="BA9" s="1" t="n">
        <v>3.31502423263328</v>
      </c>
      <c r="BB9" s="1" t="n">
        <v>0.929806138933764</v>
      </c>
      <c r="BC9" s="1" t="n">
        <v>0.816882067851373</v>
      </c>
      <c r="BD9" s="1" t="n">
        <v>0.189014539579968</v>
      </c>
      <c r="BE9" s="1" t="n">
        <v>0.350403877221325</v>
      </c>
      <c r="BF9" s="1" t="n">
        <v>1.08402261712439</v>
      </c>
      <c r="BG9" s="1" t="n">
        <v>5.82479806138934</v>
      </c>
      <c r="BH9" s="1" t="n">
        <v>0.63935379644588</v>
      </c>
      <c r="BI9" s="1" t="n">
        <v>6.26946688206785</v>
      </c>
      <c r="BJ9" s="1" t="n">
        <v>0.794550408719346</v>
      </c>
      <c r="BK9" s="1" t="n">
        <v>6.90882067851373</v>
      </c>
    </row>
    <row r="10" customFormat="false" ht="12.8" hidden="false" customHeight="false" outlineLevel="0" collapsed="false">
      <c r="A10" s="1" t="s">
        <v>187</v>
      </c>
      <c r="B10" s="6" t="n">
        <v>43116</v>
      </c>
      <c r="C10" s="2" t="n">
        <v>1</v>
      </c>
      <c r="D10" s="1" t="s">
        <v>169</v>
      </c>
      <c r="E10" s="1" t="s">
        <v>175</v>
      </c>
      <c r="F10" s="1" t="n">
        <v>29.5</v>
      </c>
      <c r="G10" s="1" t="n">
        <v>293</v>
      </c>
      <c r="H10" s="1" t="n">
        <v>4.9</v>
      </c>
      <c r="I10" s="1" t="n">
        <v>1.67235494880546</v>
      </c>
      <c r="J10" s="1" t="n">
        <v>243.6</v>
      </c>
      <c r="K10" s="1" t="n">
        <f aca="false">G10-J10</f>
        <v>49.4</v>
      </c>
      <c r="L10" s="1" t="n">
        <v>16.8600682593857</v>
      </c>
      <c r="M10" s="1" t="n">
        <v>0.948879875741921</v>
      </c>
      <c r="N10" s="1" t="n">
        <v>0.0201149425287356</v>
      </c>
      <c r="P10" s="1" t="n">
        <v>118.052372862942</v>
      </c>
      <c r="Q10" s="1" t="n">
        <v>0.247700719377077</v>
      </c>
      <c r="R10" s="1" t="n">
        <v>0.697902048284353</v>
      </c>
      <c r="S10" s="1" t="n">
        <v>34.83</v>
      </c>
      <c r="T10" s="1" t="s">
        <v>173</v>
      </c>
      <c r="U10" s="1" t="s">
        <v>173</v>
      </c>
      <c r="V10" s="1" t="s">
        <v>173</v>
      </c>
      <c r="W10" s="1" t="s">
        <v>173</v>
      </c>
      <c r="X10" s="1" t="s">
        <v>173</v>
      </c>
      <c r="Y10" s="1" t="s">
        <v>173</v>
      </c>
      <c r="Z10" s="1" t="n">
        <v>0</v>
      </c>
      <c r="AA10" s="1" t="s">
        <v>173</v>
      </c>
      <c r="AB10" s="1" t="n">
        <v>3727</v>
      </c>
      <c r="AC10" s="1" t="n">
        <v>2.44742990654206</v>
      </c>
      <c r="AD10" s="1" t="n">
        <v>1.20523415977961</v>
      </c>
      <c r="AE10" s="1" t="n">
        <v>0.995881902443468</v>
      </c>
      <c r="AF10" s="1" t="n">
        <v>2</v>
      </c>
      <c r="AG10" s="1" t="n">
        <v>112</v>
      </c>
      <c r="AH10" s="1" t="n">
        <v>34</v>
      </c>
      <c r="AI10" s="1" t="n">
        <v>14</v>
      </c>
      <c r="AJ10" s="1" t="n">
        <v>64</v>
      </c>
      <c r="AK10" s="1" t="n">
        <v>0</v>
      </c>
      <c r="AL10" s="1" t="n">
        <v>0</v>
      </c>
      <c r="AM10" s="1" t="n">
        <v>2.26785714285714</v>
      </c>
      <c r="AN10" s="1" t="n">
        <v>0.0544767808878803</v>
      </c>
      <c r="AO10" s="1" t="n">
        <v>0.00150372646796996</v>
      </c>
      <c r="AP10" s="1" t="n">
        <v>0.0941738018329732</v>
      </c>
      <c r="AQ10" s="1" t="n">
        <v>11.1161748034375</v>
      </c>
      <c r="AR10" s="1" t="n">
        <v>10.5666121559008</v>
      </c>
      <c r="AS10" s="1" t="n">
        <v>0.0318416801292407</v>
      </c>
      <c r="AT10" s="1" t="n">
        <v>0.141033925686591</v>
      </c>
      <c r="AU10" s="1" t="n">
        <v>0.444668820678514</v>
      </c>
      <c r="AV10" s="1" t="n">
        <v>0</v>
      </c>
      <c r="AW10" s="1" t="n">
        <v>0.113166397415186</v>
      </c>
      <c r="AX10" s="1" t="n">
        <v>0.353311793214863</v>
      </c>
      <c r="AY10" s="1" t="n">
        <v>0</v>
      </c>
      <c r="AZ10" s="1" t="n">
        <v>0.223667205169628</v>
      </c>
      <c r="BA10" s="1" t="n">
        <v>3.31502423263328</v>
      </c>
      <c r="BB10" s="1" t="n">
        <v>0.929806138933764</v>
      </c>
      <c r="BC10" s="1" t="n">
        <v>0.816882067851373</v>
      </c>
      <c r="BD10" s="1" t="n">
        <v>0.189014539579968</v>
      </c>
      <c r="BE10" s="1" t="n">
        <v>0.350403877221325</v>
      </c>
      <c r="BF10" s="1" t="n">
        <v>1.08402261712439</v>
      </c>
      <c r="BG10" s="1" t="n">
        <v>5.82479806138934</v>
      </c>
      <c r="BH10" s="1" t="n">
        <v>0.63935379644588</v>
      </c>
      <c r="BI10" s="1" t="n">
        <v>6.26946688206785</v>
      </c>
      <c r="BJ10" s="1" t="n">
        <v>0.794550408719346</v>
      </c>
      <c r="BK10" s="1" t="n">
        <v>6.90882067851373</v>
      </c>
    </row>
    <row r="11" customFormat="false" ht="12.8" hidden="false" customHeight="false" outlineLevel="0" collapsed="false">
      <c r="A11" s="1" t="s">
        <v>188</v>
      </c>
      <c r="B11" s="6" t="n">
        <v>43116</v>
      </c>
      <c r="C11" s="2" t="n">
        <v>1</v>
      </c>
      <c r="D11" s="1" t="s">
        <v>169</v>
      </c>
      <c r="E11" s="1" t="s">
        <v>175</v>
      </c>
      <c r="F11" s="1" t="n">
        <v>30.5</v>
      </c>
      <c r="G11" s="1" t="n">
        <v>315</v>
      </c>
      <c r="H11" s="1" t="n">
        <v>6.1</v>
      </c>
      <c r="I11" s="1" t="n">
        <v>1.93650793650794</v>
      </c>
      <c r="J11" s="1" t="n">
        <v>264.8</v>
      </c>
      <c r="K11" s="1" t="n">
        <f aca="false">G11-J11</f>
        <v>50.2</v>
      </c>
      <c r="L11" s="1" t="n">
        <v>15.9365079365079</v>
      </c>
      <c r="M11" s="1" t="n">
        <v>0.933293976147783</v>
      </c>
      <c r="N11" s="1" t="n">
        <v>0.023036253776435</v>
      </c>
      <c r="O11" s="1" t="s">
        <v>189</v>
      </c>
      <c r="P11" s="1" t="n">
        <v>97.1750429400441</v>
      </c>
      <c r="Q11" s="1" t="n">
        <v>0.224933666909615</v>
      </c>
      <c r="R11" s="1" t="n">
        <v>2.01817704794516</v>
      </c>
      <c r="S11" s="1" t="n">
        <v>58.57</v>
      </c>
      <c r="T11" s="1" t="s">
        <v>173</v>
      </c>
      <c r="U11" s="1" t="s">
        <v>182</v>
      </c>
      <c r="V11" s="1" t="s">
        <v>173</v>
      </c>
      <c r="W11" s="1" t="s">
        <v>173</v>
      </c>
      <c r="X11" s="1" t="s">
        <v>173</v>
      </c>
      <c r="Y11" s="1" t="s">
        <v>173</v>
      </c>
      <c r="Z11" s="1" t="n">
        <v>1</v>
      </c>
      <c r="AA11" s="1" t="s">
        <v>173</v>
      </c>
      <c r="AB11" s="1" t="n">
        <v>3727</v>
      </c>
      <c r="AC11" s="1" t="n">
        <v>2.70596590909091</v>
      </c>
      <c r="AD11" s="1" t="n">
        <v>1.0565886134068</v>
      </c>
      <c r="AE11" s="1" t="n">
        <v>0.29823068377582</v>
      </c>
      <c r="AF11" s="1" t="n">
        <v>2</v>
      </c>
      <c r="AG11" s="1" t="n">
        <v>107</v>
      </c>
      <c r="AH11" s="1" t="n">
        <v>27</v>
      </c>
      <c r="AI11" s="1" t="n">
        <v>9</v>
      </c>
      <c r="AJ11" s="1" t="n">
        <v>71</v>
      </c>
      <c r="AK11" s="1" t="n">
        <v>0</v>
      </c>
      <c r="AL11" s="1" t="n">
        <v>0</v>
      </c>
      <c r="AM11" s="1" t="n">
        <v>2.41121495327103</v>
      </c>
      <c r="AN11" s="1" t="n">
        <v>0.0531747896097328</v>
      </c>
      <c r="AO11" s="1" t="n">
        <v>0.00106769179424421</v>
      </c>
      <c r="AP11" s="1" t="n">
        <v>0.106016999138128</v>
      </c>
      <c r="AQ11" s="1" t="n">
        <v>12.3961748034376</v>
      </c>
      <c r="AR11" s="1" t="n">
        <v>7.90661215590079</v>
      </c>
      <c r="AS11" s="1" t="n">
        <v>0.0158198887343533</v>
      </c>
      <c r="AT11" s="1" t="n">
        <v>0.0959666203059805</v>
      </c>
      <c r="AU11" s="1" t="n">
        <v>0.468358831710709</v>
      </c>
      <c r="AV11" s="1" t="n">
        <v>0</v>
      </c>
      <c r="AW11" s="1" t="n">
        <v>0.0955493741307371</v>
      </c>
      <c r="AX11" s="1" t="n">
        <v>0.674687065368567</v>
      </c>
      <c r="AY11" s="1" t="n">
        <v>0.105563282336579</v>
      </c>
      <c r="AZ11" s="1" t="n">
        <v>0.410987482614743</v>
      </c>
      <c r="BA11" s="1" t="n">
        <v>4.14116828929068</v>
      </c>
      <c r="BB11" s="1" t="n">
        <v>1.66397774687065</v>
      </c>
      <c r="BC11" s="1" t="n">
        <v>0.736856745479833</v>
      </c>
      <c r="BD11" s="1" t="n">
        <v>0.230319888734353</v>
      </c>
      <c r="BE11" s="1" t="n">
        <v>0.457510431154381</v>
      </c>
      <c r="BF11" s="1" t="n">
        <v>1.35038178025035</v>
      </c>
      <c r="BG11" s="1" t="n">
        <v>7.74638386648122</v>
      </c>
      <c r="BH11" s="1" t="n">
        <v>0.882022948539638</v>
      </c>
      <c r="BI11" s="1" t="n">
        <v>8.21474269819193</v>
      </c>
      <c r="BJ11" s="1" t="n">
        <v>1.44053452115813</v>
      </c>
      <c r="BK11" s="1" t="n">
        <v>9.09676564673157</v>
      </c>
    </row>
    <row r="12" customFormat="false" ht="12.8" hidden="false" customHeight="false" outlineLevel="0" collapsed="false">
      <c r="A12" s="1" t="s">
        <v>190</v>
      </c>
      <c r="B12" s="6" t="n">
        <v>43116</v>
      </c>
      <c r="C12" s="2" t="n">
        <v>1</v>
      </c>
      <c r="D12" s="1" t="s">
        <v>169</v>
      </c>
      <c r="E12" s="1" t="s">
        <v>175</v>
      </c>
      <c r="F12" s="1" t="n">
        <v>33.7</v>
      </c>
      <c r="G12" s="1" t="n">
        <v>357</v>
      </c>
      <c r="H12" s="1" t="n">
        <v>6.1</v>
      </c>
      <c r="I12" s="1" t="n">
        <v>1.70868347338936</v>
      </c>
      <c r="J12" s="1" t="n">
        <v>295.1</v>
      </c>
      <c r="K12" s="1" t="n">
        <f aca="false">G12-J12</f>
        <v>61.9</v>
      </c>
      <c r="L12" s="1" t="n">
        <v>17.3389355742297</v>
      </c>
      <c r="M12" s="1" t="n">
        <v>0.771044612338182</v>
      </c>
      <c r="N12" s="1" t="n">
        <v>0.0206709589969502</v>
      </c>
      <c r="O12" s="1" t="s">
        <v>191</v>
      </c>
      <c r="P12" s="1" t="n">
        <v>99.2920144233496</v>
      </c>
      <c r="Q12" s="1" t="n">
        <v>0.314075542468366</v>
      </c>
      <c r="R12" s="1" t="n">
        <v>0.90185475448808</v>
      </c>
      <c r="S12" s="1" t="n">
        <v>51.5</v>
      </c>
      <c r="T12" s="1" t="s">
        <v>173</v>
      </c>
      <c r="U12" s="1" t="s">
        <v>173</v>
      </c>
      <c r="V12" s="1" t="s">
        <v>173</v>
      </c>
      <c r="W12" s="1" t="s">
        <v>173</v>
      </c>
      <c r="X12" s="1" t="s">
        <v>173</v>
      </c>
      <c r="Y12" s="1" t="s">
        <v>173</v>
      </c>
      <c r="Z12" s="1" t="n">
        <v>0</v>
      </c>
      <c r="AA12" s="1" t="s">
        <v>173</v>
      </c>
      <c r="AB12" s="1" t="n">
        <v>1864</v>
      </c>
      <c r="AC12" s="1" t="n">
        <v>2.29048295454545</v>
      </c>
      <c r="AD12" s="1" t="n">
        <v>1.13292011019284</v>
      </c>
      <c r="AE12" s="1" t="n">
        <v>0.843802172575142</v>
      </c>
      <c r="AF12" s="1" t="n">
        <v>2</v>
      </c>
      <c r="AG12" s="1" t="n">
        <v>78</v>
      </c>
      <c r="AH12" s="1" t="n">
        <v>17</v>
      </c>
      <c r="AI12" s="1" t="n">
        <v>7</v>
      </c>
      <c r="AJ12" s="1" t="n">
        <v>54</v>
      </c>
      <c r="AK12" s="1" t="n">
        <v>0</v>
      </c>
      <c r="AL12" s="1" t="n">
        <v>0</v>
      </c>
      <c r="AM12" s="1" t="n">
        <v>2.47435897435897</v>
      </c>
      <c r="AN12" s="1" t="n">
        <v>0.137578660970416</v>
      </c>
      <c r="AO12" s="1" t="n">
        <v>0.00123057796221802</v>
      </c>
      <c r="AP12" s="1" t="n">
        <v>0.123750248512355</v>
      </c>
      <c r="AQ12" s="1" t="n">
        <v>10.5561748034376</v>
      </c>
      <c r="AR12" s="1" t="n">
        <v>5.44661215590079</v>
      </c>
      <c r="AS12" s="1" t="n">
        <v>0.0161434977578475</v>
      </c>
      <c r="AT12" s="1" t="n">
        <v>0</v>
      </c>
      <c r="AU12" s="1" t="n">
        <v>0.348654708520179</v>
      </c>
      <c r="AV12" s="1" t="n">
        <v>0</v>
      </c>
      <c r="AW12" s="1" t="n">
        <v>0.0829596412556054</v>
      </c>
      <c r="AX12" s="1" t="n">
        <v>1.37085201793722</v>
      </c>
      <c r="AY12" s="1" t="n">
        <v>0.0517937219730942</v>
      </c>
      <c r="AZ12" s="1" t="n">
        <v>0.129820627802691</v>
      </c>
      <c r="BA12" s="1" t="n">
        <v>3.26457399103139</v>
      </c>
      <c r="BB12" s="1" t="n">
        <v>1.8347533632287</v>
      </c>
      <c r="BC12" s="1" t="n">
        <v>0.715470852017937</v>
      </c>
      <c r="BD12" s="1" t="n">
        <v>0.15627802690583</v>
      </c>
      <c r="BE12" s="1" t="n">
        <v>0.337443946188341</v>
      </c>
      <c r="BF12" s="1" t="n">
        <v>1.81860986547085</v>
      </c>
      <c r="BG12" s="1" t="n">
        <v>6.49013452914798</v>
      </c>
      <c r="BH12" s="1" t="n">
        <v>1.46995515695067</v>
      </c>
      <c r="BI12" s="1" t="n">
        <v>6.83878923766816</v>
      </c>
      <c r="BJ12" s="1" t="n">
        <v>3.93183279742765</v>
      </c>
      <c r="BK12" s="1" t="n">
        <v>8.30874439461883</v>
      </c>
    </row>
    <row r="13" customFormat="false" ht="12.8" hidden="false" customHeight="false" outlineLevel="0" collapsed="false">
      <c r="A13" s="1" t="s">
        <v>192</v>
      </c>
      <c r="B13" s="6" t="n">
        <v>43117</v>
      </c>
      <c r="C13" s="2" t="n">
        <v>1</v>
      </c>
      <c r="D13" s="1" t="s">
        <v>169</v>
      </c>
      <c r="E13" s="1" t="s">
        <v>170</v>
      </c>
      <c r="F13" s="1" t="n">
        <v>23.8</v>
      </c>
      <c r="G13" s="1" t="n">
        <v>119</v>
      </c>
      <c r="H13" s="1" t="n">
        <v>1.4</v>
      </c>
      <c r="I13" s="1" t="n">
        <v>1.17647058823529</v>
      </c>
      <c r="J13" s="1" t="n">
        <v>117.9</v>
      </c>
      <c r="K13" s="1" t="n">
        <f aca="false">G13-J13</f>
        <v>1.09999999999999</v>
      </c>
      <c r="L13" s="1" t="n">
        <v>0.92436974789916</v>
      </c>
      <c r="M13" s="1" t="n">
        <v>0.874546556140993</v>
      </c>
      <c r="N13" s="1" t="n">
        <v>0.0118744698897371</v>
      </c>
      <c r="O13" s="1" t="s">
        <v>193</v>
      </c>
      <c r="P13" s="1" t="s">
        <v>173</v>
      </c>
      <c r="Q13" s="1" t="n">
        <v>0.238507734800218</v>
      </c>
      <c r="R13" s="1" t="n">
        <v>4.54686656295496</v>
      </c>
      <c r="S13" s="1" t="n">
        <v>41.19</v>
      </c>
      <c r="T13" s="1" t="n">
        <v>25.76</v>
      </c>
      <c r="U13" s="1" t="s">
        <v>173</v>
      </c>
      <c r="V13" s="1" t="s">
        <v>173</v>
      </c>
      <c r="W13" s="1" t="s">
        <v>173</v>
      </c>
      <c r="X13" s="1" t="s">
        <v>173</v>
      </c>
      <c r="Y13" s="1" t="s">
        <v>173</v>
      </c>
      <c r="Z13" s="1" t="n">
        <v>0</v>
      </c>
      <c r="AA13" s="1" t="s">
        <v>173</v>
      </c>
      <c r="AB13" s="1" t="s">
        <v>173</v>
      </c>
      <c r="AC13" s="1" t="n">
        <v>2.03703703703704</v>
      </c>
      <c r="AD13" s="1" t="n">
        <v>0.795454545454545</v>
      </c>
      <c r="AF13" s="1" t="s">
        <v>173</v>
      </c>
      <c r="AG13" s="1" t="s">
        <v>173</v>
      </c>
      <c r="AH13" s="1" t="s">
        <v>173</v>
      </c>
      <c r="AI13" s="1" t="s">
        <v>173</v>
      </c>
      <c r="AJ13" s="1" t="s">
        <v>173</v>
      </c>
      <c r="AK13" s="1" t="s">
        <v>173</v>
      </c>
      <c r="AL13" s="1" t="s">
        <v>173</v>
      </c>
      <c r="AM13" s="1" t="s">
        <v>173</v>
      </c>
      <c r="AN13" s="1" t="n">
        <v>0.0429790246703126</v>
      </c>
      <c r="AO13" s="1" t="n">
        <v>0.000452312777974064</v>
      </c>
      <c r="AP13" s="1" t="n">
        <v>0.0941081341602688</v>
      </c>
      <c r="AQ13" s="1" t="n">
        <v>11.5961748034376</v>
      </c>
      <c r="AR13" s="1" t="n">
        <v>9.76661215590079</v>
      </c>
      <c r="AS13" s="1" t="n">
        <v>0.019661733615222</v>
      </c>
      <c r="AT13" s="1" t="n">
        <v>0.0145877378435518</v>
      </c>
      <c r="AU13" s="1" t="n">
        <v>0.442706131078224</v>
      </c>
      <c r="AV13" s="1" t="n">
        <v>0.0230443974630021</v>
      </c>
      <c r="AW13" s="1" t="n">
        <v>0.0987315010570825</v>
      </c>
      <c r="AX13" s="1" t="n">
        <v>0.344397463002114</v>
      </c>
      <c r="AY13" s="1" t="n">
        <v>0.359148302056224</v>
      </c>
      <c r="AZ13" s="1" t="n">
        <v>0.153805496828753</v>
      </c>
      <c r="BA13" s="1" t="n">
        <v>5.87949260042283</v>
      </c>
      <c r="BB13" s="1" t="n">
        <v>2.09962548229896</v>
      </c>
      <c r="BC13" s="1" t="n">
        <v>0.667864693446089</v>
      </c>
      <c r="BD13" s="1" t="n">
        <v>0.258350951374207</v>
      </c>
      <c r="BE13" s="1" t="n">
        <v>0.218181818181818</v>
      </c>
      <c r="BF13" s="1" t="n">
        <v>0.943128964059197</v>
      </c>
      <c r="BG13" s="1" t="n">
        <v>9.63646934460888</v>
      </c>
      <c r="BH13" s="1" t="n">
        <v>0.500422832980973</v>
      </c>
      <c r="BI13" s="1" t="n">
        <v>10.0791754756871</v>
      </c>
      <c r="BJ13" s="1" t="n">
        <v>0.777936962750716</v>
      </c>
      <c r="BK13" s="1" t="n">
        <v>10.5795983086681</v>
      </c>
    </row>
    <row r="14" customFormat="false" ht="12.8" hidden="false" customHeight="false" outlineLevel="0" collapsed="false">
      <c r="A14" s="1" t="s">
        <v>194</v>
      </c>
      <c r="B14" s="6" t="n">
        <v>43117</v>
      </c>
      <c r="C14" s="2" t="n">
        <v>1</v>
      </c>
      <c r="D14" s="1" t="s">
        <v>169</v>
      </c>
      <c r="E14" s="1" t="s">
        <v>170</v>
      </c>
      <c r="F14" s="1" t="n">
        <v>23.5</v>
      </c>
      <c r="G14" s="1" t="n">
        <v>121</v>
      </c>
      <c r="H14" s="1" t="n">
        <v>1.2</v>
      </c>
      <c r="I14" s="1" t="n">
        <v>0.991735537190083</v>
      </c>
      <c r="J14" s="1" t="n">
        <v>119.6</v>
      </c>
      <c r="K14" s="1" t="n">
        <f aca="false">G14-J14</f>
        <v>1.40000000000001</v>
      </c>
      <c r="L14" s="1" t="n">
        <v>1.15702479338843</v>
      </c>
      <c r="M14" s="1" t="n">
        <v>0.921568438592605</v>
      </c>
      <c r="N14" s="1" t="n">
        <v>0.0100334448160535</v>
      </c>
      <c r="P14" s="1" t="n">
        <v>97.0629549574625</v>
      </c>
      <c r="Q14" s="1" t="n">
        <v>0.357781960100939</v>
      </c>
      <c r="R14" s="1" t="n">
        <v>1.83028488052898</v>
      </c>
      <c r="S14" s="1" t="n">
        <v>50.08</v>
      </c>
      <c r="T14" s="1" t="n">
        <v>24.9</v>
      </c>
      <c r="U14" s="1" t="s">
        <v>173</v>
      </c>
      <c r="V14" s="1" t="s">
        <v>173</v>
      </c>
      <c r="W14" s="1" t="s">
        <v>173</v>
      </c>
      <c r="X14" s="1" t="s">
        <v>173</v>
      </c>
      <c r="Y14" s="1" t="s">
        <v>173</v>
      </c>
      <c r="Z14" s="1" t="n">
        <v>0</v>
      </c>
      <c r="AA14" s="1" t="n">
        <v>3761</v>
      </c>
      <c r="AB14" s="1" t="s">
        <v>173</v>
      </c>
      <c r="AC14" s="1" t="n">
        <v>2.66393442622951</v>
      </c>
      <c r="AD14" s="1" t="n">
        <v>0.735192837465565</v>
      </c>
      <c r="AE14" s="1" t="n">
        <v>0</v>
      </c>
      <c r="AF14" s="1" t="s">
        <v>173</v>
      </c>
      <c r="AG14" s="1" t="s">
        <v>173</v>
      </c>
      <c r="AH14" s="1" t="s">
        <v>173</v>
      </c>
      <c r="AI14" s="1" t="s">
        <v>173</v>
      </c>
      <c r="AJ14" s="1" t="s">
        <v>173</v>
      </c>
      <c r="AK14" s="1" t="s">
        <v>173</v>
      </c>
      <c r="AL14" s="1" t="s">
        <v>173</v>
      </c>
      <c r="AM14" s="1" t="s">
        <v>173</v>
      </c>
      <c r="AN14" s="1" t="n">
        <v>0.035400643563227</v>
      </c>
      <c r="AO14" s="1" t="n">
        <v>0.000763270598507139</v>
      </c>
      <c r="AP14" s="1" t="n">
        <v>0.0856612797128466</v>
      </c>
      <c r="AQ14" s="1" t="n">
        <v>12.7161748034376</v>
      </c>
      <c r="AR14" s="1" t="n">
        <v>10.5866121559008</v>
      </c>
      <c r="AS14" s="1" t="n">
        <v>0.0159713945172825</v>
      </c>
      <c r="AT14" s="1" t="n">
        <v>0.0171632896305125</v>
      </c>
      <c r="AU14" s="1" t="n">
        <v>0.435995232419547</v>
      </c>
      <c r="AV14" s="1" t="n">
        <v>0.00595947556615018</v>
      </c>
      <c r="AW14" s="1" t="n">
        <v>0.06507747318236</v>
      </c>
      <c r="AX14" s="1" t="n">
        <v>0.122288438617402</v>
      </c>
      <c r="AY14" s="1" t="n">
        <v>0</v>
      </c>
      <c r="AZ14" s="1" t="n">
        <v>0.129296781883194</v>
      </c>
      <c r="BA14" s="1" t="n">
        <v>4.97258641239571</v>
      </c>
      <c r="BB14" s="1" t="n">
        <v>1.87413587604291</v>
      </c>
      <c r="BC14" s="1" t="n">
        <v>0.66150178784267</v>
      </c>
      <c r="BD14" s="1" t="n">
        <v>0.189463647199047</v>
      </c>
      <c r="BE14" s="1" t="n">
        <v>0.226054827175209</v>
      </c>
      <c r="BF14" s="1" t="n">
        <v>0.662455303933254</v>
      </c>
      <c r="BG14" s="1" t="n">
        <v>8.05303933253874</v>
      </c>
      <c r="BH14" s="1" t="n">
        <v>0.226460071513707</v>
      </c>
      <c r="BI14" s="1" t="n">
        <v>8.48903456495829</v>
      </c>
      <c r="BJ14" s="1" t="n">
        <v>0.280481137233461</v>
      </c>
      <c r="BK14" s="1" t="n">
        <v>8.71549463647199</v>
      </c>
    </row>
    <row r="15" customFormat="false" ht="12.8" hidden="false" customHeight="false" outlineLevel="0" collapsed="false">
      <c r="A15" s="1" t="s">
        <v>195</v>
      </c>
      <c r="B15" s="6" t="n">
        <v>43117</v>
      </c>
      <c r="C15" s="2" t="n">
        <v>1</v>
      </c>
      <c r="D15" s="1" t="s">
        <v>169</v>
      </c>
      <c r="E15" s="1" t="s">
        <v>170</v>
      </c>
      <c r="F15" s="1" t="n">
        <v>24.8</v>
      </c>
      <c r="G15" s="1" t="n">
        <v>127</v>
      </c>
      <c r="H15" s="1" t="n">
        <v>1.5</v>
      </c>
      <c r="I15" s="1" t="n">
        <v>1.18110236220472</v>
      </c>
      <c r="J15" s="1" t="n">
        <v>125.3</v>
      </c>
      <c r="K15" s="1" t="n">
        <f aca="false">G15-J15</f>
        <v>1.7</v>
      </c>
      <c r="L15" s="1" t="n">
        <v>1.33858267716535</v>
      </c>
      <c r="M15" s="1" t="n">
        <v>0.821478172938136</v>
      </c>
      <c r="N15" s="1" t="n">
        <v>0.0119712689545092</v>
      </c>
      <c r="P15" s="1" t="s">
        <v>173</v>
      </c>
      <c r="Q15" s="1" t="n">
        <v>0.406496797252031</v>
      </c>
      <c r="R15" s="1" t="n">
        <v>1.37042796643901</v>
      </c>
      <c r="S15" s="1" t="n">
        <v>46.94</v>
      </c>
      <c r="T15" s="1" t="n">
        <v>23.78</v>
      </c>
      <c r="U15" s="1" t="s">
        <v>173</v>
      </c>
      <c r="V15" s="1" t="s">
        <v>173</v>
      </c>
      <c r="W15" s="1" t="s">
        <v>173</v>
      </c>
      <c r="X15" s="1" t="s">
        <v>173</v>
      </c>
      <c r="Y15" s="1" t="s">
        <v>173</v>
      </c>
      <c r="Z15" s="1" t="n">
        <v>0</v>
      </c>
      <c r="AA15" s="1" t="n">
        <v>5450</v>
      </c>
      <c r="AB15" s="1" t="s">
        <v>173</v>
      </c>
      <c r="AC15" s="1" t="n">
        <v>2.58986928104575</v>
      </c>
      <c r="AD15" s="1" t="n">
        <v>1.00034435261708</v>
      </c>
      <c r="AE15" s="1" t="n">
        <v>0.634805056862144</v>
      </c>
      <c r="AF15" s="1" t="s">
        <v>173</v>
      </c>
      <c r="AG15" s="1" t="s">
        <v>173</v>
      </c>
      <c r="AH15" s="1" t="s">
        <v>173</v>
      </c>
      <c r="AI15" s="1" t="s">
        <v>173</v>
      </c>
      <c r="AJ15" s="1" t="s">
        <v>173</v>
      </c>
      <c r="AK15" s="1" t="s">
        <v>173</v>
      </c>
      <c r="AL15" s="1" t="s">
        <v>173</v>
      </c>
      <c r="AM15" s="1" t="s">
        <v>173</v>
      </c>
      <c r="AN15" s="1" t="n">
        <v>0.00598716843420452</v>
      </c>
      <c r="AO15" s="1" t="n">
        <v>0.000901515855135862</v>
      </c>
      <c r="AP15" s="1" t="n">
        <v>0.0946568233549568</v>
      </c>
      <c r="AQ15" s="1" t="n">
        <v>11.6361748034376</v>
      </c>
      <c r="AR15" s="1" t="n">
        <v>10.0466121559008</v>
      </c>
      <c r="AS15" s="1" t="n">
        <v>0.016</v>
      </c>
      <c r="AT15" s="1" t="n">
        <v>0.0467368421052632</v>
      </c>
      <c r="AU15" s="1" t="n">
        <v>0.461473684210526</v>
      </c>
      <c r="AV15" s="1" t="n">
        <v>0.024</v>
      </c>
      <c r="AW15" s="1" t="n">
        <v>0.0762105263157895</v>
      </c>
      <c r="AX15" s="1" t="n">
        <v>0.677684210526316</v>
      </c>
      <c r="AY15" s="1" t="n">
        <v>0.165378865645032</v>
      </c>
      <c r="AZ15" s="1" t="n">
        <v>0.104336842105263</v>
      </c>
      <c r="BA15" s="1" t="n">
        <v>5.77684210526316</v>
      </c>
      <c r="BB15" s="1" t="n">
        <v>2.13567376593392</v>
      </c>
      <c r="BC15" s="1" t="n">
        <v>0.791578947368421</v>
      </c>
      <c r="BD15" s="1" t="n">
        <v>0.234105263157895</v>
      </c>
      <c r="BE15" s="1" t="n">
        <v>0.208273684210526</v>
      </c>
      <c r="BF15" s="1" t="n">
        <v>1.30210526315789</v>
      </c>
      <c r="BG15" s="1" t="n">
        <v>9.41618947368421</v>
      </c>
      <c r="BH15" s="1" t="n">
        <v>0.840631578947368</v>
      </c>
      <c r="BI15" s="1" t="n">
        <v>9.87766315789474</v>
      </c>
      <c r="BJ15" s="1" t="n">
        <v>1.46852189781022</v>
      </c>
      <c r="BK15" s="1" t="n">
        <v>10.7182947368421</v>
      </c>
    </row>
    <row r="16" customFormat="false" ht="12.8" hidden="false" customHeight="false" outlineLevel="0" collapsed="false">
      <c r="A16" s="1" t="s">
        <v>196</v>
      </c>
      <c r="B16" s="6" t="n">
        <v>43117</v>
      </c>
      <c r="C16" s="2" t="n">
        <v>1</v>
      </c>
      <c r="D16" s="1" t="s">
        <v>169</v>
      </c>
      <c r="E16" s="1" t="s">
        <v>170</v>
      </c>
      <c r="F16" s="1" t="n">
        <v>25.3</v>
      </c>
      <c r="G16" s="1" t="n">
        <v>155</v>
      </c>
      <c r="H16" s="1" t="n">
        <v>2.1</v>
      </c>
      <c r="I16" s="1" t="n">
        <v>1.35483870967742</v>
      </c>
      <c r="J16" s="1" t="n">
        <v>153.2</v>
      </c>
      <c r="K16" s="1" t="n">
        <f aca="false">G16-J16</f>
        <v>1.80000000000001</v>
      </c>
      <c r="L16" s="1" t="n">
        <v>1.16129032258065</v>
      </c>
      <c r="M16" s="1" t="n">
        <v>0.946013211951358</v>
      </c>
      <c r="N16" s="1" t="n">
        <v>0.0137075718015666</v>
      </c>
      <c r="P16" s="1" t="n">
        <v>118.302235174526</v>
      </c>
      <c r="Q16" s="1" t="n">
        <v>0.261315545361405</v>
      </c>
      <c r="R16" s="1" t="n">
        <v>4.99953813790535</v>
      </c>
      <c r="S16" s="1" t="n">
        <v>44.56</v>
      </c>
      <c r="T16" s="1" t="n">
        <v>23.34</v>
      </c>
      <c r="U16" s="1" t="s">
        <v>182</v>
      </c>
      <c r="V16" s="1" t="s">
        <v>173</v>
      </c>
      <c r="W16" s="1" t="s">
        <v>173</v>
      </c>
      <c r="X16" s="1" t="s">
        <v>173</v>
      </c>
      <c r="Y16" s="1" t="s">
        <v>173</v>
      </c>
      <c r="Z16" s="1" t="n">
        <v>1</v>
      </c>
      <c r="AA16" s="1" t="n">
        <v>3249</v>
      </c>
      <c r="AB16" s="1" t="s">
        <v>173</v>
      </c>
      <c r="AC16" s="1" t="n">
        <v>3.78086419753086</v>
      </c>
      <c r="AD16" s="1" t="n">
        <v>0.984274563820019</v>
      </c>
      <c r="AE16" s="1" t="n">
        <v>0.74618415308482</v>
      </c>
      <c r="AF16" s="1" t="s">
        <v>173</v>
      </c>
      <c r="AG16" s="1" t="s">
        <v>173</v>
      </c>
      <c r="AH16" s="1" t="s">
        <v>173</v>
      </c>
      <c r="AI16" s="1" t="s">
        <v>173</v>
      </c>
      <c r="AJ16" s="1" t="s">
        <v>173</v>
      </c>
      <c r="AK16" s="1" t="s">
        <v>173</v>
      </c>
      <c r="AL16" s="1" t="s">
        <v>173</v>
      </c>
      <c r="AM16" s="1" t="s">
        <v>173</v>
      </c>
      <c r="AN16" s="1" t="n">
        <v>0.14025132666468</v>
      </c>
      <c r="AO16" s="1" t="n">
        <v>0.00144324802696485</v>
      </c>
      <c r="AP16" s="1" t="n">
        <v>0.0790253215429603</v>
      </c>
      <c r="AQ16" s="1" t="n">
        <v>9.47617480343756</v>
      </c>
      <c r="AR16" s="1" t="n">
        <v>11.5066121559008</v>
      </c>
      <c r="AS16" s="1" t="n">
        <v>0.0379717880289745</v>
      </c>
      <c r="AT16" s="1" t="n">
        <v>0.0441479222264583</v>
      </c>
      <c r="AU16" s="1" t="n">
        <v>0.472359893252002</v>
      </c>
      <c r="AV16" s="1" t="n">
        <v>0</v>
      </c>
      <c r="AW16" s="1" t="n">
        <v>0.0349980937857415</v>
      </c>
      <c r="AX16" s="1" t="n">
        <v>1.06366755623332</v>
      </c>
      <c r="AY16" s="1" t="n">
        <v>0.230713520222922</v>
      </c>
      <c r="AZ16" s="1" t="n">
        <v>0.167784979031643</v>
      </c>
      <c r="BA16" s="1" t="n">
        <v>4.60007624857034</v>
      </c>
      <c r="BB16" s="1" t="n">
        <v>1.75228304859141</v>
      </c>
      <c r="BC16" s="1" t="n">
        <v>0.84178421654594</v>
      </c>
      <c r="BD16" s="1" t="n">
        <v>0.14987418985894</v>
      </c>
      <c r="BE16" s="1" t="n">
        <v>0.188966831871902</v>
      </c>
      <c r="BF16" s="1" t="n">
        <v>1.6531452535265</v>
      </c>
      <c r="BG16" s="1" t="n">
        <v>7.9314830346931</v>
      </c>
      <c r="BH16" s="1" t="n">
        <v>1.18078536027449</v>
      </c>
      <c r="BI16" s="1" t="n">
        <v>8.4038429279451</v>
      </c>
      <c r="BJ16" s="1" t="n">
        <v>2.25181598062954</v>
      </c>
      <c r="BK16" s="1" t="n">
        <v>9.58462828821959</v>
      </c>
    </row>
    <row r="17" customFormat="false" ht="12.8" hidden="false" customHeight="false" outlineLevel="0" collapsed="false">
      <c r="A17" s="1" t="s">
        <v>197</v>
      </c>
      <c r="B17" s="6" t="n">
        <v>43117</v>
      </c>
      <c r="C17" s="2" t="n">
        <v>1</v>
      </c>
      <c r="D17" s="1" t="s">
        <v>169</v>
      </c>
      <c r="E17" s="1" t="s">
        <v>170</v>
      </c>
      <c r="F17" s="1" t="n">
        <v>26.5</v>
      </c>
      <c r="G17" s="1" t="n">
        <v>138</v>
      </c>
      <c r="H17" s="1" t="n">
        <v>1.3</v>
      </c>
      <c r="I17" s="1" t="n">
        <v>0.942028985507246</v>
      </c>
      <c r="J17" s="1" t="n">
        <v>135.8</v>
      </c>
      <c r="K17" s="1" t="n">
        <f aca="false">G17-J17</f>
        <v>2.19999999999999</v>
      </c>
      <c r="L17" s="1" t="n">
        <v>1.59420289855072</v>
      </c>
      <c r="M17" s="1" t="n">
        <v>0.729729911269034</v>
      </c>
      <c r="N17" s="1" t="n">
        <v>0.00957290132547864</v>
      </c>
      <c r="P17" s="1" t="n">
        <v>133.472758506188</v>
      </c>
      <c r="Q17" s="1" t="n">
        <v>0.316080535724461</v>
      </c>
      <c r="R17" s="1" t="n">
        <v>29.6516843644023</v>
      </c>
      <c r="S17" s="1" t="n">
        <v>63.71</v>
      </c>
      <c r="T17" s="1" t="n">
        <v>25.07</v>
      </c>
      <c r="U17" s="1" t="s">
        <v>173</v>
      </c>
      <c r="V17" s="1" t="s">
        <v>173</v>
      </c>
      <c r="W17" s="1" t="s">
        <v>173</v>
      </c>
      <c r="X17" s="1" t="s">
        <v>173</v>
      </c>
      <c r="Y17" s="1" t="s">
        <v>173</v>
      </c>
      <c r="Z17" s="1" t="n">
        <v>1</v>
      </c>
      <c r="AA17" s="1" t="n">
        <v>720</v>
      </c>
      <c r="AB17" s="1" t="s">
        <v>173</v>
      </c>
      <c r="AC17" s="1" t="n">
        <v>2.45109321058688</v>
      </c>
      <c r="AD17" s="1" t="s">
        <v>198</v>
      </c>
      <c r="AE17" s="1" t="n">
        <v>0.385663582688702</v>
      </c>
      <c r="AF17" s="1" t="s">
        <v>173</v>
      </c>
      <c r="AG17" s="1" t="s">
        <v>173</v>
      </c>
      <c r="AH17" s="1" t="s">
        <v>173</v>
      </c>
      <c r="AI17" s="1" t="s">
        <v>173</v>
      </c>
      <c r="AJ17" s="1" t="s">
        <v>173</v>
      </c>
      <c r="AK17" s="1" t="s">
        <v>173</v>
      </c>
      <c r="AL17" s="1" t="s">
        <v>173</v>
      </c>
      <c r="AM17" s="1" t="s">
        <v>173</v>
      </c>
      <c r="AN17" s="1" t="n">
        <v>0.04978210159899</v>
      </c>
      <c r="AO17" s="1" t="n">
        <v>0.00074058518823475</v>
      </c>
      <c r="AP17" s="1" t="n">
        <v>0.0638123280679001</v>
      </c>
      <c r="AQ17" s="1" t="n">
        <v>9.79617480343756</v>
      </c>
      <c r="AR17" s="1" t="n">
        <v>7.56661215590079</v>
      </c>
      <c r="AS17" s="1" t="n">
        <v>0.0352156514006225</v>
      </c>
      <c r="AT17" s="1" t="n">
        <v>0.0402845709204091</v>
      </c>
      <c r="AU17" s="1" t="n">
        <v>0.640017785682526</v>
      </c>
      <c r="AV17" s="1" t="n">
        <v>0.0240106714095153</v>
      </c>
      <c r="AW17" s="1" t="n">
        <v>0.156602934637617</v>
      </c>
      <c r="AX17" s="1" t="n">
        <v>0.224366385060027</v>
      </c>
      <c r="AY17" s="1" t="n">
        <v>0</v>
      </c>
      <c r="AZ17" s="1" t="n">
        <v>0.173410404624277</v>
      </c>
      <c r="BA17" s="1" t="n">
        <v>4.44730991551801</v>
      </c>
      <c r="BB17" s="1" t="n">
        <v>1.93526011560694</v>
      </c>
      <c r="BC17" s="1" t="n">
        <v>0.461271676300578</v>
      </c>
      <c r="BD17" s="1" t="n">
        <v>0.261049355269008</v>
      </c>
      <c r="BE17" s="1" t="n">
        <v>0.27718986216096</v>
      </c>
      <c r="BF17" s="1" t="n">
        <v>1.12049799911072</v>
      </c>
      <c r="BG17" s="1" t="n">
        <v>7.55549132947977</v>
      </c>
      <c r="BH17" s="1" t="n">
        <v>0.48048021342819</v>
      </c>
      <c r="BI17" s="1" t="n">
        <v>8.19550911516229</v>
      </c>
      <c r="BJ17" s="1" t="n">
        <v>0.350562734472697</v>
      </c>
      <c r="BK17" s="1" t="n">
        <v>8.67598932859048</v>
      </c>
    </row>
    <row r="18" customFormat="false" ht="12.8" hidden="false" customHeight="false" outlineLevel="0" collapsed="false">
      <c r="A18" s="1" t="s">
        <v>199</v>
      </c>
      <c r="B18" s="6" t="n">
        <v>43117</v>
      </c>
      <c r="C18" s="2" t="n">
        <v>1</v>
      </c>
      <c r="D18" s="1" t="s">
        <v>169</v>
      </c>
      <c r="E18" s="1" t="s">
        <v>170</v>
      </c>
      <c r="F18" s="1" t="n">
        <v>27.2</v>
      </c>
      <c r="G18" s="1" t="n">
        <v>184</v>
      </c>
      <c r="H18" s="1" t="n">
        <v>2.8</v>
      </c>
      <c r="I18" s="1" t="n">
        <v>1.52173913043478</v>
      </c>
      <c r="J18" s="1" t="n">
        <v>181.7</v>
      </c>
      <c r="K18" s="1" t="n">
        <f aca="false">G18-J18</f>
        <v>2.30000000000001</v>
      </c>
      <c r="L18" s="1" t="n">
        <v>1.25</v>
      </c>
      <c r="M18" s="1" t="n">
        <v>0.902917800987177</v>
      </c>
      <c r="N18" s="1" t="n">
        <v>0.015410016510732</v>
      </c>
      <c r="O18" s="1" t="s">
        <v>200</v>
      </c>
      <c r="P18" s="1" t="n">
        <v>133.452876856562</v>
      </c>
      <c r="Q18" s="1" t="n">
        <v>0.0994381940852308</v>
      </c>
      <c r="R18" s="1" t="n">
        <v>46.6684755910847</v>
      </c>
      <c r="S18" s="1" t="n">
        <v>50.14</v>
      </c>
      <c r="T18" s="1" t="n">
        <v>23.43</v>
      </c>
      <c r="U18" s="1" t="s">
        <v>182</v>
      </c>
      <c r="V18" s="1" t="s">
        <v>173</v>
      </c>
      <c r="W18" s="1" t="s">
        <v>173</v>
      </c>
      <c r="X18" s="1" t="s">
        <v>173</v>
      </c>
      <c r="Y18" s="1" t="s">
        <v>173</v>
      </c>
      <c r="Z18" s="1" t="n">
        <v>1</v>
      </c>
      <c r="AA18" s="1" t="n">
        <v>8875</v>
      </c>
      <c r="AB18" s="1" t="s">
        <v>173</v>
      </c>
      <c r="AC18" s="1" t="n">
        <v>2.71403353927626</v>
      </c>
      <c r="AD18" s="1" t="n">
        <v>1.59626568717478</v>
      </c>
      <c r="AE18" s="1" t="n">
        <v>1.0810023402469</v>
      </c>
      <c r="AF18" s="1" t="s">
        <v>173</v>
      </c>
      <c r="AG18" s="1" t="s">
        <v>173</v>
      </c>
      <c r="AH18" s="1" t="s">
        <v>173</v>
      </c>
      <c r="AI18" s="1" t="s">
        <v>173</v>
      </c>
      <c r="AJ18" s="1" t="s">
        <v>173</v>
      </c>
      <c r="AK18" s="1" t="s">
        <v>173</v>
      </c>
      <c r="AL18" s="1" t="s">
        <v>173</v>
      </c>
      <c r="AM18" s="1" t="s">
        <v>173</v>
      </c>
      <c r="AN18" s="1" t="n">
        <v>0.172517511876965</v>
      </c>
      <c r="AO18" s="1" t="n">
        <v>0.00151716725179177</v>
      </c>
      <c r="AP18" s="1" t="n">
        <v>0.0621742048262691</v>
      </c>
      <c r="AQ18" s="1" t="n">
        <v>11.2761748034376</v>
      </c>
      <c r="AR18" s="1" t="n">
        <v>10.4466121559008</v>
      </c>
      <c r="AS18" s="1" t="n">
        <v>0.0402938090241343</v>
      </c>
      <c r="AT18" s="1" t="n">
        <v>0.0302203567681007</v>
      </c>
      <c r="AU18" s="1" t="n">
        <v>0.346904512067156</v>
      </c>
      <c r="AV18" s="1" t="n">
        <v>0</v>
      </c>
      <c r="AW18" s="1" t="n">
        <v>0.0524658971668416</v>
      </c>
      <c r="AX18" s="1" t="n">
        <v>0.688562434417629</v>
      </c>
      <c r="AY18" s="1" t="n">
        <v>0.194545597640971</v>
      </c>
      <c r="AZ18" s="1" t="n">
        <v>0.129380902413431</v>
      </c>
      <c r="BA18" s="1" t="n">
        <v>5.10388247639035</v>
      </c>
      <c r="BB18" s="1" t="n">
        <v>1.69821410855</v>
      </c>
      <c r="BC18" s="1" t="n">
        <v>0.594123819517314</v>
      </c>
      <c r="BD18" s="1" t="n">
        <v>0.322350472193075</v>
      </c>
      <c r="BE18" s="1" t="n">
        <v>0.245540398740818</v>
      </c>
      <c r="BF18" s="1" t="n">
        <v>1.15844700944386</v>
      </c>
      <c r="BG18" s="1" t="n">
        <v>8.28803777544596</v>
      </c>
      <c r="BH18" s="1" t="n">
        <v>0.811542497376705</v>
      </c>
      <c r="BI18" s="1" t="n">
        <v>8.63494228751312</v>
      </c>
      <c r="BJ18" s="1" t="n">
        <v>1.9848759830611</v>
      </c>
      <c r="BK18" s="1" t="n">
        <v>9.44648478488982</v>
      </c>
    </row>
    <row r="19" customFormat="false" ht="12.8" hidden="false" customHeight="false" outlineLevel="0" collapsed="false">
      <c r="A19" s="1" t="s">
        <v>201</v>
      </c>
      <c r="B19" s="6" t="n">
        <v>43117</v>
      </c>
      <c r="C19" s="2" t="n">
        <v>1</v>
      </c>
      <c r="D19" s="1" t="s">
        <v>169</v>
      </c>
      <c r="E19" s="1" t="s">
        <v>170</v>
      </c>
      <c r="F19" s="1" t="n">
        <v>29.3</v>
      </c>
      <c r="G19" s="1" t="n">
        <v>186</v>
      </c>
      <c r="H19" s="1" t="n">
        <v>1.9</v>
      </c>
      <c r="I19" s="1" t="n">
        <v>1.02150537634409</v>
      </c>
      <c r="J19" s="1" t="n">
        <v>183</v>
      </c>
      <c r="K19" s="1" t="n">
        <f aca="false">G19-J19</f>
        <v>3</v>
      </c>
      <c r="L19" s="1" t="n">
        <v>1.61290322580645</v>
      </c>
      <c r="M19" s="1" t="n">
        <v>0.727525514379423</v>
      </c>
      <c r="N19" s="1" t="n">
        <v>0.0103825136612022</v>
      </c>
      <c r="P19" s="1" t="s">
        <v>173</v>
      </c>
      <c r="Q19" s="1" t="n">
        <v>0.500719163350898</v>
      </c>
      <c r="R19" s="1" t="n">
        <v>6.71324446209779</v>
      </c>
      <c r="S19" s="1" t="n">
        <v>50.82</v>
      </c>
      <c r="T19" s="1" t="n">
        <v>26.71</v>
      </c>
      <c r="U19" s="1" t="s">
        <v>173</v>
      </c>
      <c r="V19" s="1" t="s">
        <v>173</v>
      </c>
      <c r="W19" s="1" t="s">
        <v>173</v>
      </c>
      <c r="X19" s="1" t="s">
        <v>173</v>
      </c>
      <c r="Y19" s="1" t="s">
        <v>173</v>
      </c>
      <c r="Z19" s="1" t="n">
        <v>0</v>
      </c>
      <c r="AA19" s="1" t="n">
        <v>11474</v>
      </c>
      <c r="AB19" s="1" t="s">
        <v>173</v>
      </c>
      <c r="AC19" s="1" t="n">
        <v>2.003367003367</v>
      </c>
      <c r="AD19" s="1" t="n">
        <v>1.18737883889399</v>
      </c>
      <c r="AE19" s="1" t="n">
        <v>0.13227008159182</v>
      </c>
      <c r="AF19" s="1" t="s">
        <v>173</v>
      </c>
      <c r="AG19" s="1" t="s">
        <v>173</v>
      </c>
      <c r="AH19" s="1" t="s">
        <v>173</v>
      </c>
      <c r="AI19" s="1" t="s">
        <v>173</v>
      </c>
      <c r="AJ19" s="1" t="s">
        <v>173</v>
      </c>
      <c r="AK19" s="1" t="s">
        <v>173</v>
      </c>
      <c r="AL19" s="1" t="s">
        <v>173</v>
      </c>
      <c r="AM19" s="1" t="s">
        <v>173</v>
      </c>
      <c r="AN19" s="1" t="n">
        <v>0.128502817497407</v>
      </c>
      <c r="AO19" s="1" t="n">
        <v>0.00176313424595707</v>
      </c>
      <c r="AP19" s="1" t="n">
        <v>0.0560701677203527</v>
      </c>
      <c r="AQ19" s="1" t="n">
        <v>10.6761748034376</v>
      </c>
      <c r="AR19" s="1" t="n">
        <v>6.90661215590079</v>
      </c>
      <c r="AS19" s="1" t="n">
        <v>0</v>
      </c>
      <c r="AT19" s="1" t="n">
        <v>0.0248913472935599</v>
      </c>
      <c r="AU19" s="1" t="n">
        <v>0.56775977874358</v>
      </c>
      <c r="AV19" s="1" t="n">
        <v>0</v>
      </c>
      <c r="AW19" s="1" t="n">
        <v>0.0474120900829712</v>
      </c>
      <c r="AX19" s="1" t="n">
        <v>0.272382457526669</v>
      </c>
      <c r="AY19" s="1" t="n">
        <v>0.114253376092619</v>
      </c>
      <c r="AZ19" s="1" t="n">
        <v>0.162386408534176</v>
      </c>
      <c r="BA19" s="1" t="n">
        <v>5.60410904780719</v>
      </c>
      <c r="BB19" s="1" t="n">
        <v>1.99345108854586</v>
      </c>
      <c r="BC19" s="1" t="n">
        <v>0.714026076649546</v>
      </c>
      <c r="BD19" s="1" t="n">
        <v>0.211623864085342</v>
      </c>
      <c r="BE19" s="1" t="n">
        <v>0.230493875938364</v>
      </c>
      <c r="BF19" s="1" t="n">
        <v>0.91244567364678</v>
      </c>
      <c r="BG19" s="1" t="n">
        <v>9.0303437376531</v>
      </c>
      <c r="BH19" s="1" t="n">
        <v>0.3446858949032</v>
      </c>
      <c r="BI19" s="1" t="n">
        <v>9.59810351639668</v>
      </c>
      <c r="BJ19" s="1" t="n">
        <v>0.479749478079332</v>
      </c>
      <c r="BK19" s="1" t="n">
        <v>9.94278941129988</v>
      </c>
    </row>
    <row r="20" customFormat="false" ht="12.8" hidden="false" customHeight="false" outlineLevel="0" collapsed="false">
      <c r="A20" s="1" t="s">
        <v>202</v>
      </c>
      <c r="B20" s="6" t="n">
        <v>43117</v>
      </c>
      <c r="C20" s="2" t="n">
        <v>1</v>
      </c>
      <c r="D20" s="1" t="s">
        <v>169</v>
      </c>
      <c r="E20" s="1" t="s">
        <v>170</v>
      </c>
      <c r="F20" s="1" t="n">
        <v>30.2</v>
      </c>
      <c r="G20" s="1" t="n">
        <v>232</v>
      </c>
      <c r="H20" s="1" t="n">
        <v>3</v>
      </c>
      <c r="I20" s="1" t="n">
        <v>1.29310344827586</v>
      </c>
      <c r="J20" s="1" t="n">
        <v>229</v>
      </c>
      <c r="K20" s="1" t="n">
        <f aca="false">G20-J20</f>
        <v>3</v>
      </c>
      <c r="L20" s="1" t="n">
        <v>1.29310344827586</v>
      </c>
      <c r="M20" s="1" t="n">
        <v>0.831408869890974</v>
      </c>
      <c r="N20" s="1" t="n">
        <v>0.0131004366812227</v>
      </c>
      <c r="O20" s="1" t="s">
        <v>200</v>
      </c>
      <c r="P20" s="1" t="s">
        <v>173</v>
      </c>
      <c r="Q20" s="1" t="n">
        <v>0.63576618688388</v>
      </c>
      <c r="R20" s="1" t="n">
        <v>2.91971666412504</v>
      </c>
      <c r="S20" s="1" t="n">
        <v>53.37</v>
      </c>
      <c r="T20" s="1" t="n">
        <v>26.45</v>
      </c>
      <c r="U20" s="1" t="s">
        <v>173</v>
      </c>
      <c r="V20" s="1" t="s">
        <v>173</v>
      </c>
      <c r="W20" s="1" t="s">
        <v>173</v>
      </c>
      <c r="X20" s="1" t="s">
        <v>173</v>
      </c>
      <c r="Y20" s="1" t="s">
        <v>173</v>
      </c>
      <c r="Z20" s="1" t="n">
        <v>0</v>
      </c>
      <c r="AA20" s="1" t="n">
        <v>3995</v>
      </c>
      <c r="AB20" s="1" t="s">
        <v>173</v>
      </c>
      <c r="AC20" s="1" t="n">
        <v>1.72334558823529</v>
      </c>
      <c r="AD20" s="1" t="n">
        <v>1.02043158861341</v>
      </c>
      <c r="AE20" s="1" t="n">
        <v>0.203165221957644</v>
      </c>
      <c r="AF20" s="1" t="s">
        <v>173</v>
      </c>
      <c r="AG20" s="1" t="s">
        <v>173</v>
      </c>
      <c r="AH20" s="1" t="s">
        <v>173</v>
      </c>
      <c r="AI20" s="1" t="s">
        <v>173</v>
      </c>
      <c r="AJ20" s="1" t="s">
        <v>173</v>
      </c>
      <c r="AK20" s="1" t="s">
        <v>173</v>
      </c>
      <c r="AL20" s="1" t="s">
        <v>173</v>
      </c>
      <c r="AM20" s="1" t="s">
        <v>173</v>
      </c>
      <c r="AN20" s="1" t="n">
        <v>0.143387389573278</v>
      </c>
      <c r="AO20" s="1" t="n">
        <v>0.00251479844851209</v>
      </c>
      <c r="AP20" s="1" t="n">
        <v>0.0631803592098253</v>
      </c>
      <c r="AQ20" s="1" t="n">
        <v>8.59617480343756</v>
      </c>
      <c r="AR20" s="1" t="n">
        <v>8.14661215590079</v>
      </c>
      <c r="AS20" s="1" t="n">
        <v>0.0339527027027027</v>
      </c>
      <c r="AT20" s="1" t="n">
        <v>0.044847972972973</v>
      </c>
      <c r="AU20" s="1" t="n">
        <v>0.383868243243243</v>
      </c>
      <c r="AV20" s="1" t="n">
        <v>0</v>
      </c>
      <c r="AW20" s="1" t="n">
        <v>0.0886824324324324</v>
      </c>
      <c r="AX20" s="1" t="n">
        <v>1.02972972972973</v>
      </c>
      <c r="AY20" s="1" t="n">
        <v>0.12703713962528</v>
      </c>
      <c r="AZ20" s="1" t="n">
        <v>0.18433277027027</v>
      </c>
      <c r="BA20" s="1" t="n">
        <v>7.0464527027027</v>
      </c>
      <c r="BB20" s="1" t="n">
        <v>2.81975340091526</v>
      </c>
      <c r="BC20" s="1" t="n">
        <v>0.0909628378378378</v>
      </c>
      <c r="BD20" s="1" t="n">
        <v>0.309628378378378</v>
      </c>
      <c r="BE20" s="1" t="n">
        <v>0.261486486486486</v>
      </c>
      <c r="BF20" s="1" t="n">
        <v>1.58108108108108</v>
      </c>
      <c r="BG20" s="1" t="n">
        <v>10.8396537162162</v>
      </c>
      <c r="BH20" s="1" t="n">
        <v>1.19721283783784</v>
      </c>
      <c r="BI20" s="1" t="n">
        <v>11.2235219594595</v>
      </c>
      <c r="BJ20" s="1" t="n">
        <v>2.68250825082508</v>
      </c>
      <c r="BK20" s="1" t="n">
        <v>12.4207347972973</v>
      </c>
    </row>
    <row r="21" customFormat="false" ht="12.8" hidden="false" customHeight="false" outlineLevel="0" collapsed="false">
      <c r="A21" s="1" t="s">
        <v>203</v>
      </c>
      <c r="B21" s="6" t="n">
        <v>43117</v>
      </c>
      <c r="C21" s="2" t="n">
        <v>1</v>
      </c>
      <c r="D21" s="1" t="s">
        <v>169</v>
      </c>
      <c r="E21" s="1" t="s">
        <v>170</v>
      </c>
      <c r="F21" s="1" t="n">
        <v>26.1</v>
      </c>
      <c r="G21" s="1" t="n">
        <v>160</v>
      </c>
      <c r="H21" s="1" t="n">
        <v>2</v>
      </c>
      <c r="I21" s="1" t="n">
        <v>1.25</v>
      </c>
      <c r="J21" s="1" t="n">
        <v>156.4</v>
      </c>
      <c r="K21" s="1" t="n">
        <f aca="false">G21-J21</f>
        <v>3.59999999999999</v>
      </c>
      <c r="L21" s="1" t="n">
        <v>2.25</v>
      </c>
      <c r="M21" s="1" t="n">
        <v>0.879660774908025</v>
      </c>
      <c r="N21" s="1" t="n">
        <v>0.0127877237851662</v>
      </c>
      <c r="O21" s="1" t="s">
        <v>204</v>
      </c>
      <c r="P21" s="1" t="n">
        <v>75.6943421655936</v>
      </c>
      <c r="Q21" s="1" t="n">
        <v>0.174903548070476</v>
      </c>
      <c r="R21" s="1" t="n">
        <v>8.18176668818168</v>
      </c>
      <c r="S21" s="1" t="n">
        <v>51.58</v>
      </c>
      <c r="T21" s="1" t="n">
        <v>23.78</v>
      </c>
      <c r="U21" s="1" t="s">
        <v>173</v>
      </c>
      <c r="V21" s="1" t="s">
        <v>173</v>
      </c>
      <c r="W21" s="1" t="s">
        <v>173</v>
      </c>
      <c r="X21" s="1" t="s">
        <v>173</v>
      </c>
      <c r="Y21" s="1" t="s">
        <v>173</v>
      </c>
      <c r="Z21" s="1" t="n">
        <v>0</v>
      </c>
      <c r="AA21" s="1" t="n">
        <v>2115</v>
      </c>
      <c r="AB21" s="1" t="s">
        <v>173</v>
      </c>
      <c r="AC21" s="1" t="n">
        <v>2.62995049504951</v>
      </c>
      <c r="AD21" s="1" t="n">
        <v>0.851698806244261</v>
      </c>
      <c r="AF21" s="1" t="s">
        <v>173</v>
      </c>
      <c r="AG21" s="1" t="s">
        <v>173</v>
      </c>
      <c r="AH21" s="1" t="s">
        <v>173</v>
      </c>
      <c r="AI21" s="1" t="s">
        <v>173</v>
      </c>
      <c r="AJ21" s="1" t="s">
        <v>173</v>
      </c>
      <c r="AK21" s="1" t="s">
        <v>173</v>
      </c>
      <c r="AL21" s="1" t="s">
        <v>173</v>
      </c>
      <c r="AM21" s="1" t="s">
        <v>173</v>
      </c>
      <c r="AN21" s="1" t="n">
        <v>0.110227010476385</v>
      </c>
      <c r="AO21" s="1" t="n">
        <v>0.00247084210284818</v>
      </c>
      <c r="AP21" s="1" t="n">
        <v>0.0742834521394395</v>
      </c>
      <c r="AQ21" s="1" t="n">
        <v>7.87617480343756</v>
      </c>
      <c r="AR21" s="1" t="n">
        <v>9.10661215590079</v>
      </c>
      <c r="AS21" s="1" t="n">
        <v>0.0252434748733931</v>
      </c>
      <c r="AT21" s="1" t="n">
        <v>0.0142578885858979</v>
      </c>
      <c r="AU21" s="1" t="n">
        <v>0.359252045188936</v>
      </c>
      <c r="AV21" s="1" t="n">
        <v>0</v>
      </c>
      <c r="AW21" s="1" t="n">
        <v>0.0521231008959875</v>
      </c>
      <c r="AX21" s="1" t="n">
        <v>0.593922867160109</v>
      </c>
      <c r="AY21" s="1" t="n">
        <v>0.168084867733704</v>
      </c>
      <c r="AZ21" s="1" t="n">
        <v>0.115839501363459</v>
      </c>
      <c r="BA21" s="1" t="n">
        <v>6.4137125048695</v>
      </c>
      <c r="BB21" s="1" t="n">
        <v>2.38664828380506</v>
      </c>
      <c r="BC21" s="1" t="n">
        <v>0.87884690299961</v>
      </c>
      <c r="BD21" s="1" t="n">
        <v>0.259914296844566</v>
      </c>
      <c r="BE21" s="1" t="n">
        <v>0.23123490455785</v>
      </c>
      <c r="BF21" s="1" t="n">
        <v>1.04479937670432</v>
      </c>
      <c r="BG21" s="1" t="n">
        <v>10.4542812621737</v>
      </c>
      <c r="BH21" s="1" t="n">
        <v>0.685547331515388</v>
      </c>
      <c r="BI21" s="1" t="n">
        <v>10.8135333073627</v>
      </c>
      <c r="BJ21" s="1" t="n">
        <v>1.65322055953156</v>
      </c>
      <c r="BK21" s="1" t="n">
        <v>11.4990806388781</v>
      </c>
    </row>
    <row r="22" customFormat="false" ht="12.8" hidden="false" customHeight="false" outlineLevel="0" collapsed="false">
      <c r="A22" s="1" t="s">
        <v>205</v>
      </c>
      <c r="B22" s="6" t="n">
        <v>43117</v>
      </c>
      <c r="C22" s="2" t="n">
        <v>1</v>
      </c>
      <c r="D22" s="1" t="s">
        <v>169</v>
      </c>
      <c r="E22" s="1" t="s">
        <v>170</v>
      </c>
      <c r="F22" s="1" t="n">
        <v>29.3</v>
      </c>
      <c r="G22" s="1" t="n">
        <v>235</v>
      </c>
      <c r="H22" s="1" t="n">
        <v>3</v>
      </c>
      <c r="I22" s="1" t="n">
        <v>1.27659574468085</v>
      </c>
      <c r="J22" s="1" t="n">
        <v>231.3</v>
      </c>
      <c r="K22" s="1" t="n">
        <f aca="false">G22-J22</f>
        <v>3.69999999999999</v>
      </c>
      <c r="L22" s="1" t="n">
        <v>1.57446808510638</v>
      </c>
      <c r="M22" s="1" t="n">
        <v>0.919544543584483</v>
      </c>
      <c r="N22" s="1" t="n">
        <v>0.012970168612192</v>
      </c>
      <c r="O22" s="1" t="s">
        <v>206</v>
      </c>
      <c r="P22" s="1" t="s">
        <v>173</v>
      </c>
      <c r="Q22" s="1" t="n">
        <v>0.290336939235972</v>
      </c>
      <c r="R22" s="1" t="n">
        <v>4.38922580839124</v>
      </c>
      <c r="S22" s="1" t="n">
        <v>39.46</v>
      </c>
      <c r="T22" s="1" t="n">
        <v>25.84</v>
      </c>
      <c r="U22" s="1" t="s">
        <v>182</v>
      </c>
      <c r="V22" s="1" t="s">
        <v>173</v>
      </c>
      <c r="W22" s="1" t="s">
        <v>173</v>
      </c>
      <c r="X22" s="1" t="s">
        <v>173</v>
      </c>
      <c r="Y22" s="1" t="s">
        <v>173</v>
      </c>
      <c r="Z22" s="1" t="n">
        <v>1</v>
      </c>
      <c r="AA22" s="1" t="n">
        <v>1650</v>
      </c>
      <c r="AB22" s="1" t="s">
        <v>173</v>
      </c>
      <c r="AC22" s="1" t="n">
        <v>2.33156028368794</v>
      </c>
      <c r="AD22" s="1" t="n">
        <v>0.759297520661157</v>
      </c>
      <c r="AE22" s="1" t="n">
        <v>0.415107287526017</v>
      </c>
      <c r="AF22" s="1" t="s">
        <v>173</v>
      </c>
      <c r="AG22" s="1" t="s">
        <v>173</v>
      </c>
      <c r="AH22" s="1" t="s">
        <v>173</v>
      </c>
      <c r="AI22" s="1" t="s">
        <v>173</v>
      </c>
      <c r="AJ22" s="1" t="s">
        <v>173</v>
      </c>
      <c r="AK22" s="1" t="s">
        <v>173</v>
      </c>
      <c r="AL22" s="1" t="s">
        <v>173</v>
      </c>
      <c r="AM22" s="1" t="s">
        <v>173</v>
      </c>
      <c r="AN22" s="1" t="n">
        <v>0.0623588642109367</v>
      </c>
      <c r="AO22" s="1" t="n">
        <v>0.000308228679019969</v>
      </c>
      <c r="AP22" s="1" t="n">
        <v>0.0911098117365512</v>
      </c>
      <c r="AQ22" s="1" t="n">
        <v>13.8361748034376</v>
      </c>
      <c r="AR22" s="1" t="n">
        <v>9.92661215590079</v>
      </c>
      <c r="AS22" s="1" t="n">
        <v>0.0360787172011662</v>
      </c>
      <c r="AT22" s="1" t="n">
        <v>0.0133381924198251</v>
      </c>
      <c r="AU22" s="1" t="n">
        <v>0.539868804664723</v>
      </c>
      <c r="AV22" s="1" t="n">
        <v>0.0137755102040816</v>
      </c>
      <c r="AW22" s="1" t="n">
        <v>0.0741253644314869</v>
      </c>
      <c r="AX22" s="1" t="n">
        <v>0.528061224489796</v>
      </c>
      <c r="AY22" s="1" t="n">
        <v>0.332115346914414</v>
      </c>
      <c r="AZ22" s="1" t="n">
        <v>0.223469387755102</v>
      </c>
      <c r="BA22" s="1" t="n">
        <v>6.29737609329446</v>
      </c>
      <c r="BB22" s="1" t="n">
        <v>1.91351147524302</v>
      </c>
      <c r="BC22" s="1" t="n">
        <v>0.751967930029155</v>
      </c>
      <c r="BD22" s="1" t="n">
        <v>0.306122448979592</v>
      </c>
      <c r="BE22" s="1" t="n">
        <v>0.311370262390671</v>
      </c>
      <c r="BF22" s="1" t="n">
        <v>1.20524781341108</v>
      </c>
      <c r="BG22" s="1" t="n">
        <v>10.1359329446064</v>
      </c>
      <c r="BH22" s="1" t="n">
        <v>0.665379008746356</v>
      </c>
      <c r="BI22" s="1" t="n">
        <v>10.6758017492711</v>
      </c>
      <c r="BJ22" s="1" t="n">
        <v>0.97812879708384</v>
      </c>
      <c r="BK22" s="1" t="n">
        <v>11.3411807580175</v>
      </c>
    </row>
    <row r="23" customFormat="false" ht="12.8" hidden="false" customHeight="false" outlineLevel="0" collapsed="false">
      <c r="A23" s="1" t="s">
        <v>207</v>
      </c>
      <c r="B23" s="6" t="n">
        <v>43117</v>
      </c>
      <c r="C23" s="2" t="n">
        <v>1</v>
      </c>
      <c r="D23" s="1" t="s">
        <v>169</v>
      </c>
      <c r="E23" s="1" t="s">
        <v>170</v>
      </c>
      <c r="F23" s="1" t="n">
        <v>27.9</v>
      </c>
      <c r="G23" s="1" t="n">
        <v>226</v>
      </c>
      <c r="H23" s="1" t="n">
        <v>2.7</v>
      </c>
      <c r="I23" s="1" t="n">
        <v>1.19469026548673</v>
      </c>
      <c r="J23" s="1" t="n">
        <v>222.2</v>
      </c>
      <c r="K23" s="1" t="n">
        <f aca="false">G23-J23</f>
        <v>3.80000000000001</v>
      </c>
      <c r="L23" s="1" t="n">
        <v>1.68141592920354</v>
      </c>
      <c r="M23" s="1" t="n">
        <v>1.0231314739139</v>
      </c>
      <c r="N23" s="1" t="n">
        <v>0.0121512151215122</v>
      </c>
      <c r="O23" s="1" t="s">
        <v>208</v>
      </c>
      <c r="P23" s="1" t="n">
        <v>80.8598499463611</v>
      </c>
      <c r="Q23" s="1" t="n">
        <v>0.204012843322584</v>
      </c>
      <c r="R23" s="1" t="n">
        <v>2.86768933734885</v>
      </c>
      <c r="S23" s="1" t="n">
        <v>38.04</v>
      </c>
      <c r="T23" s="1" t="n">
        <v>24.55</v>
      </c>
      <c r="U23" s="1" t="s">
        <v>182</v>
      </c>
      <c r="V23" s="1" t="s">
        <v>173</v>
      </c>
      <c r="W23" s="1" t="s">
        <v>173</v>
      </c>
      <c r="X23" s="1" t="s">
        <v>209</v>
      </c>
      <c r="Y23" s="1" t="s">
        <v>173</v>
      </c>
      <c r="Z23" s="1" t="n">
        <v>1</v>
      </c>
      <c r="AA23" s="1" t="n">
        <v>1887</v>
      </c>
      <c r="AB23" s="1" t="s">
        <v>173</v>
      </c>
      <c r="AC23" s="1" t="n">
        <v>3.54545454545455</v>
      </c>
      <c r="AD23" s="1" t="n">
        <v>0.980257116620753</v>
      </c>
      <c r="AE23" s="1" t="n">
        <v>4.23681376969393</v>
      </c>
      <c r="AF23" s="1" t="s">
        <v>173</v>
      </c>
      <c r="AG23" s="1" t="s">
        <v>173</v>
      </c>
      <c r="AH23" s="1" t="s">
        <v>173</v>
      </c>
      <c r="AI23" s="1" t="s">
        <v>173</v>
      </c>
      <c r="AJ23" s="1" t="s">
        <v>173</v>
      </c>
      <c r="AK23" s="1" t="s">
        <v>173</v>
      </c>
      <c r="AL23" s="1" t="s">
        <v>173</v>
      </c>
      <c r="AM23" s="1" t="s">
        <v>173</v>
      </c>
      <c r="AN23" s="1" t="n">
        <v>0.129347829512158</v>
      </c>
      <c r="AO23" s="1" t="n">
        <v>0.00289693024799031</v>
      </c>
      <c r="AP23" s="1" t="n">
        <v>0.0529698969230071</v>
      </c>
      <c r="AQ23" s="1" t="n">
        <v>6.83617480343756</v>
      </c>
      <c r="AR23" s="1" t="n">
        <v>11.7066121559008</v>
      </c>
      <c r="AS23" s="1" t="n">
        <v>0.0681874740771464</v>
      </c>
      <c r="AT23" s="1" t="n">
        <v>0.0375777685607632</v>
      </c>
      <c r="AU23" s="1" t="n">
        <v>0.325756947324762</v>
      </c>
      <c r="AV23" s="1" t="n">
        <v>0</v>
      </c>
      <c r="AW23" s="1" t="n">
        <v>0.0863542098714226</v>
      </c>
      <c r="AX23" s="1" t="n">
        <v>1.53123185400249</v>
      </c>
      <c r="AY23" s="1" t="n">
        <v>0</v>
      </c>
      <c r="AZ23" s="1" t="n">
        <v>0.21419328079635</v>
      </c>
      <c r="BA23" s="1" t="n">
        <v>5.18871837411862</v>
      </c>
      <c r="BB23" s="1" t="n">
        <v>0.497221070095396</v>
      </c>
      <c r="BC23" s="1" t="n">
        <v>0.61518042306097</v>
      </c>
      <c r="BD23" s="1" t="n">
        <v>0.261053504769805</v>
      </c>
      <c r="BE23" s="1" t="n">
        <v>0.244031522189963</v>
      </c>
      <c r="BF23" s="1" t="n">
        <v>2.04910825383658</v>
      </c>
      <c r="BG23" s="1" t="n">
        <v>7.02039817503111</v>
      </c>
      <c r="BH23" s="1" t="n">
        <v>1.72335130651182</v>
      </c>
      <c r="BI23" s="1" t="n">
        <v>7.34615512235587</v>
      </c>
      <c r="BJ23" s="1" t="n">
        <v>4.70053475935829</v>
      </c>
      <c r="BK23" s="1" t="n">
        <v>9.06950642886769</v>
      </c>
    </row>
    <row r="24" customFormat="false" ht="12.8" hidden="false" customHeight="false" outlineLevel="0" collapsed="false">
      <c r="A24" s="1" t="s">
        <v>210</v>
      </c>
      <c r="B24" s="6" t="n">
        <v>43117</v>
      </c>
      <c r="C24" s="2" t="n">
        <v>1</v>
      </c>
      <c r="D24" s="1" t="s">
        <v>169</v>
      </c>
      <c r="E24" s="1" t="s">
        <v>170</v>
      </c>
      <c r="F24" s="1" t="n">
        <v>27</v>
      </c>
      <c r="G24" s="1" t="n">
        <v>186</v>
      </c>
      <c r="H24" s="1" t="n">
        <v>1.9</v>
      </c>
      <c r="I24" s="1" t="n">
        <v>1.02150537634409</v>
      </c>
      <c r="J24" s="1" t="n">
        <v>180.8</v>
      </c>
      <c r="K24" s="1" t="n">
        <f aca="false">G24-J24</f>
        <v>5.19999999999999</v>
      </c>
      <c r="L24" s="1" t="n">
        <v>2.79569892473118</v>
      </c>
      <c r="M24" s="1" t="n">
        <v>0.918559162729259</v>
      </c>
      <c r="N24" s="1" t="n">
        <v>0.0105088495575221</v>
      </c>
      <c r="O24" s="1" t="s">
        <v>200</v>
      </c>
      <c r="P24" s="1" t="n">
        <v>101.219177498275</v>
      </c>
      <c r="Q24" s="1" t="n">
        <v>0.393517504373076</v>
      </c>
      <c r="R24" s="1" t="n">
        <v>1.72634173861294</v>
      </c>
      <c r="S24" s="1" t="n">
        <v>58.2</v>
      </c>
      <c r="T24" s="1" t="n">
        <v>24.9</v>
      </c>
      <c r="U24" s="1" t="s">
        <v>173</v>
      </c>
      <c r="V24" s="1" t="s">
        <v>173</v>
      </c>
      <c r="W24" s="1" t="s">
        <v>173</v>
      </c>
      <c r="X24" s="1" t="s">
        <v>173</v>
      </c>
      <c r="Y24" s="1" t="s">
        <v>173</v>
      </c>
      <c r="Z24" s="1" t="n">
        <v>1</v>
      </c>
      <c r="AA24" s="1" t="n">
        <v>1662</v>
      </c>
      <c r="AB24" s="1" t="s">
        <v>173</v>
      </c>
      <c r="AC24" s="1" t="n">
        <v>3.63095238095238</v>
      </c>
      <c r="AD24" s="1" t="n">
        <v>1.08069329660239</v>
      </c>
      <c r="AE24" s="1" t="n">
        <v>0.129748666252921</v>
      </c>
      <c r="AF24" s="1" t="s">
        <v>173</v>
      </c>
      <c r="AG24" s="1" t="s">
        <v>173</v>
      </c>
      <c r="AH24" s="1" t="s">
        <v>173</v>
      </c>
      <c r="AI24" s="1" t="s">
        <v>173</v>
      </c>
      <c r="AJ24" s="1" t="s">
        <v>173</v>
      </c>
      <c r="AK24" s="1" t="s">
        <v>173</v>
      </c>
      <c r="AL24" s="1" t="s">
        <v>173</v>
      </c>
      <c r="AM24" s="1" t="s">
        <v>173</v>
      </c>
      <c r="AN24" s="1" t="n">
        <v>0.169370189774583</v>
      </c>
      <c r="AO24" s="1" t="n">
        <v>0.000736449885700156</v>
      </c>
      <c r="AP24" s="1" t="n">
        <v>0.0829817009712801</v>
      </c>
      <c r="AQ24" s="1" t="n">
        <v>10.9161748034376</v>
      </c>
      <c r="AR24" s="1" t="n">
        <v>11.0466121559008</v>
      </c>
      <c r="AS24" s="1" t="n">
        <v>0.0224144710971294</v>
      </c>
      <c r="AT24" s="1" t="n">
        <v>0.0266614235155328</v>
      </c>
      <c r="AU24" s="1" t="n">
        <v>0.42705465985057</v>
      </c>
      <c r="AV24" s="1" t="n">
        <v>0.0169878096736138</v>
      </c>
      <c r="AW24" s="1" t="n">
        <v>0.0488399528116398</v>
      </c>
      <c r="AX24" s="1" t="n">
        <v>0.226976012583563</v>
      </c>
      <c r="AY24" s="1" t="n">
        <v>0</v>
      </c>
      <c r="AZ24" s="1" t="n">
        <v>0.161620133700354</v>
      </c>
      <c r="BA24" s="1" t="n">
        <v>5.57766417616988</v>
      </c>
      <c r="BB24" s="1" t="n">
        <v>2.09775855289029</v>
      </c>
      <c r="BC24" s="1" t="n">
        <v>0.710656704679512</v>
      </c>
      <c r="BD24" s="1" t="n">
        <v>0.210625245772709</v>
      </c>
      <c r="BE24" s="1" t="n">
        <v>0.229406213134094</v>
      </c>
      <c r="BF24" s="1" t="n">
        <v>0.768934329532049</v>
      </c>
      <c r="BG24" s="1" t="n">
        <v>8.98773102634683</v>
      </c>
      <c r="BH24" s="1" t="n">
        <v>0.341879669681479</v>
      </c>
      <c r="BI24" s="1" t="n">
        <v>9.4147856861974</v>
      </c>
      <c r="BJ24" s="1" t="n">
        <v>0.531491712707182</v>
      </c>
      <c r="BK24" s="1" t="n">
        <v>9.75666535587888</v>
      </c>
    </row>
    <row r="25" customFormat="false" ht="12.8" hidden="false" customHeight="false" outlineLevel="0" collapsed="false">
      <c r="A25" s="1" t="s">
        <v>211</v>
      </c>
      <c r="B25" s="6" t="n">
        <v>43117</v>
      </c>
      <c r="C25" s="2" t="n">
        <v>1</v>
      </c>
      <c r="D25" s="1" t="s">
        <v>169</v>
      </c>
      <c r="E25" s="1" t="s">
        <v>175</v>
      </c>
      <c r="F25" s="1" t="n">
        <v>27.4</v>
      </c>
      <c r="G25" s="1" t="n">
        <v>174</v>
      </c>
      <c r="H25" s="1" t="n">
        <v>2.6</v>
      </c>
      <c r="I25" s="1" t="n">
        <v>1.49425287356322</v>
      </c>
      <c r="J25" s="1" t="n">
        <v>165.2</v>
      </c>
      <c r="K25" s="1" t="n">
        <f aca="false">G25-J25</f>
        <v>8.80000000000001</v>
      </c>
      <c r="L25" s="1" t="n">
        <v>5.05747126436782</v>
      </c>
      <c r="M25" s="1" t="n">
        <v>0.803079157159674</v>
      </c>
      <c r="N25" s="1" t="n">
        <v>0.0157384987893462</v>
      </c>
      <c r="P25" s="1" t="s">
        <v>173</v>
      </c>
      <c r="Q25" s="1" t="n">
        <v>0.270940260271657</v>
      </c>
      <c r="R25" s="1" t="n">
        <v>1.67831111552445</v>
      </c>
      <c r="S25" s="1" t="n">
        <v>59.99</v>
      </c>
      <c r="T25" s="1" t="s">
        <v>173</v>
      </c>
      <c r="U25" s="1" t="s">
        <v>173</v>
      </c>
      <c r="V25" s="1" t="s">
        <v>173</v>
      </c>
      <c r="W25" s="1" t="s">
        <v>173</v>
      </c>
      <c r="X25" s="1" t="s">
        <v>173</v>
      </c>
      <c r="Y25" s="1" t="s">
        <v>173</v>
      </c>
      <c r="Z25" s="1" t="n">
        <v>0</v>
      </c>
      <c r="AA25" s="1" t="s">
        <v>173</v>
      </c>
      <c r="AB25" s="1" t="n">
        <v>2334</v>
      </c>
      <c r="AC25" s="1" t="n">
        <v>2.09753787878788</v>
      </c>
      <c r="AD25" s="1" t="n">
        <v>0.795454545454545</v>
      </c>
      <c r="AE25" s="1" t="n">
        <v>0.171210329351819</v>
      </c>
      <c r="AF25" s="1" t="n">
        <v>2</v>
      </c>
      <c r="AG25" s="1" t="n">
        <v>100</v>
      </c>
      <c r="AH25" s="1" t="n">
        <v>56</v>
      </c>
      <c r="AI25" s="1" t="n">
        <v>18</v>
      </c>
      <c r="AJ25" s="1" t="n">
        <v>25</v>
      </c>
      <c r="AK25" s="1" t="n">
        <v>0</v>
      </c>
      <c r="AL25" s="1" t="n">
        <v>1</v>
      </c>
      <c r="AM25" s="1" t="n">
        <v>1.68686868686869</v>
      </c>
      <c r="AN25" s="1" t="n">
        <v>0.064477198522203</v>
      </c>
      <c r="AO25" s="1" t="n">
        <v>0.00161767331015033</v>
      </c>
      <c r="AP25" s="1" t="n">
        <v>0.0498866551067836</v>
      </c>
      <c r="AQ25" s="1" t="n">
        <v>11.6361748034376</v>
      </c>
      <c r="AR25" s="1" t="n">
        <v>8.10661215590079</v>
      </c>
      <c r="AS25" s="1" t="n">
        <v>0.033826247689464</v>
      </c>
      <c r="AT25" s="1" t="n">
        <v>0.0970425138632163</v>
      </c>
      <c r="AU25" s="1" t="n">
        <v>0.479112754158965</v>
      </c>
      <c r="AV25" s="1" t="n">
        <v>0</v>
      </c>
      <c r="AW25" s="1" t="n">
        <v>0.0532347504621072</v>
      </c>
      <c r="AX25" s="1" t="n">
        <v>0.402587800369686</v>
      </c>
      <c r="AY25" s="1" t="n">
        <v>0.383171628647026</v>
      </c>
      <c r="AZ25" s="1" t="n">
        <v>0.300776340110906</v>
      </c>
      <c r="BA25" s="1" t="n">
        <v>11.5674676524954</v>
      </c>
      <c r="BB25" s="1" t="n">
        <v>3.9765326227393</v>
      </c>
      <c r="BC25" s="1" t="n">
        <v>1.53881700554529</v>
      </c>
      <c r="BD25" s="1" t="n">
        <v>0.440739371534196</v>
      </c>
      <c r="BE25" s="1" t="n">
        <v>0.525859519408503</v>
      </c>
      <c r="BF25" s="1" t="n">
        <v>1.06580406654344</v>
      </c>
      <c r="BG25" s="1" t="n">
        <v>18.7333641404806</v>
      </c>
      <c r="BH25" s="1" t="n">
        <v>0.586691312384473</v>
      </c>
      <c r="BI25" s="1" t="n">
        <v>19.2124768946396</v>
      </c>
      <c r="BJ25" s="1" t="n">
        <v>0.840277777777778</v>
      </c>
      <c r="BK25" s="1" t="n">
        <v>19.799168207024</v>
      </c>
    </row>
    <row r="26" customFormat="false" ht="12.8" hidden="false" customHeight="false" outlineLevel="0" collapsed="false">
      <c r="A26" s="1" t="s">
        <v>212</v>
      </c>
      <c r="B26" s="6" t="n">
        <v>43117</v>
      </c>
      <c r="C26" s="2" t="n">
        <v>1</v>
      </c>
      <c r="D26" s="1" t="s">
        <v>169</v>
      </c>
      <c r="E26" s="1" t="s">
        <v>175</v>
      </c>
      <c r="F26" s="1" t="n">
        <v>28.1</v>
      </c>
      <c r="G26" s="1" t="n">
        <v>226</v>
      </c>
      <c r="H26" s="1" t="n">
        <v>4</v>
      </c>
      <c r="I26" s="1" t="n">
        <v>1.76991150442478</v>
      </c>
      <c r="J26" s="1" t="n">
        <v>202.2</v>
      </c>
      <c r="K26" s="1" t="n">
        <f aca="false">G26-J26</f>
        <v>23.8</v>
      </c>
      <c r="L26" s="1" t="n">
        <v>10.5309734513274</v>
      </c>
      <c r="M26" s="1" t="n">
        <v>0.911301723302206</v>
      </c>
      <c r="N26" s="1" t="n">
        <v>0.019782393669634</v>
      </c>
      <c r="O26" s="1" t="s">
        <v>213</v>
      </c>
      <c r="P26" s="1" t="n">
        <v>93.5991912400329</v>
      </c>
      <c r="Q26" s="1" t="n">
        <v>0.299338389336181</v>
      </c>
      <c r="R26" s="1" t="n">
        <v>0.839155557762224</v>
      </c>
      <c r="S26" s="1" t="n">
        <v>53.39</v>
      </c>
      <c r="T26" s="1" t="s">
        <v>173</v>
      </c>
      <c r="U26" s="1" t="s">
        <v>173</v>
      </c>
      <c r="V26" s="1" t="s">
        <v>173</v>
      </c>
      <c r="W26" s="1" t="s">
        <v>173</v>
      </c>
      <c r="X26" s="1" t="s">
        <v>173</v>
      </c>
      <c r="Y26" s="1" t="s">
        <v>173</v>
      </c>
      <c r="Z26" s="1" t="n">
        <v>0</v>
      </c>
      <c r="AA26" s="1" t="n">
        <v>218</v>
      </c>
      <c r="AB26" s="1" t="s">
        <v>173</v>
      </c>
      <c r="AC26" s="1" t="n">
        <v>2.76442307692308</v>
      </c>
      <c r="AD26" s="1" t="n">
        <v>0.956152433425161</v>
      </c>
      <c r="AE26" s="1" t="n">
        <v>1.28711993663532</v>
      </c>
      <c r="AF26" s="1" t="n">
        <v>2</v>
      </c>
      <c r="AG26" s="1" t="n">
        <v>143</v>
      </c>
      <c r="AH26" s="1" t="n">
        <v>47</v>
      </c>
      <c r="AI26" s="1" t="n">
        <v>33</v>
      </c>
      <c r="AJ26" s="1" t="n">
        <v>60</v>
      </c>
      <c r="AK26" s="1" t="n">
        <v>0</v>
      </c>
      <c r="AL26" s="1" t="n">
        <v>3</v>
      </c>
      <c r="AM26" s="1" t="n">
        <v>2.09285714285714</v>
      </c>
      <c r="AN26" s="1" t="n">
        <v>0.032199137311162</v>
      </c>
      <c r="AO26" s="1" t="n">
        <v>0.00200995052082851</v>
      </c>
      <c r="AP26" s="1" t="n">
        <v>0.0574745359139125</v>
      </c>
      <c r="AQ26" s="1" t="n">
        <v>12.3161748034376</v>
      </c>
      <c r="AR26" s="1" t="n">
        <v>7.84661215590079</v>
      </c>
      <c r="AS26" s="1" t="n">
        <v>0.0547008547008547</v>
      </c>
      <c r="AT26" s="1" t="n">
        <v>0.0403846153846154</v>
      </c>
      <c r="AU26" s="1" t="n">
        <v>0.399145299145299</v>
      </c>
      <c r="AV26" s="1" t="n">
        <v>0.00897435897435898</v>
      </c>
      <c r="AW26" s="1" t="n">
        <v>0.0811965811965812</v>
      </c>
      <c r="AX26" s="1" t="n">
        <v>0.559188034188034</v>
      </c>
      <c r="AY26" s="1" t="n">
        <v>0.0716514093117004</v>
      </c>
      <c r="AZ26" s="1" t="n">
        <v>0.23482905982906</v>
      </c>
      <c r="BA26" s="1" t="n">
        <v>3.75213675213675</v>
      </c>
      <c r="BB26" s="1" t="n">
        <v>1.45933149667121</v>
      </c>
      <c r="BC26" s="1" t="n">
        <v>0.507905982905983</v>
      </c>
      <c r="BD26" s="1" t="n">
        <v>0.19465811965812</v>
      </c>
      <c r="BE26" s="1" t="n">
        <v>0.254487179487179</v>
      </c>
      <c r="BF26" s="1" t="n">
        <v>1.14358974358974</v>
      </c>
      <c r="BG26" s="1" t="n">
        <v>6.475</v>
      </c>
      <c r="BH26" s="1" t="n">
        <v>0.744444444444445</v>
      </c>
      <c r="BI26" s="1" t="n">
        <v>6.8741452991453</v>
      </c>
      <c r="BJ26" s="1" t="n">
        <v>1.40096359743041</v>
      </c>
      <c r="BK26" s="1" t="n">
        <v>7.61858974358974</v>
      </c>
    </row>
    <row r="27" customFormat="false" ht="12.8" hidden="false" customHeight="false" outlineLevel="0" collapsed="false">
      <c r="A27" s="1" t="s">
        <v>214</v>
      </c>
      <c r="B27" s="6" t="n">
        <v>43117</v>
      </c>
      <c r="C27" s="2" t="n">
        <v>1</v>
      </c>
      <c r="D27" s="1" t="s">
        <v>169</v>
      </c>
      <c r="E27" s="1" t="s">
        <v>175</v>
      </c>
      <c r="F27" s="1" t="n">
        <v>30.1</v>
      </c>
      <c r="G27" s="1" t="n">
        <v>274</v>
      </c>
      <c r="H27" s="1" t="n">
        <v>4.5</v>
      </c>
      <c r="I27" s="1" t="n">
        <v>1.64233576642336</v>
      </c>
      <c r="J27" s="1" t="n">
        <v>250.1</v>
      </c>
      <c r="K27" s="1" t="n">
        <f aca="false">G27-J27</f>
        <v>23.9</v>
      </c>
      <c r="L27" s="1" t="n">
        <v>8.72262773722628</v>
      </c>
      <c r="M27" s="1" t="n">
        <v>0.917094745054444</v>
      </c>
      <c r="N27" s="1" t="n">
        <v>0.0179928028788485</v>
      </c>
      <c r="P27" s="1" t="n">
        <v>72.1445612260071</v>
      </c>
      <c r="Q27" s="1" t="n">
        <v>0.33516542929389</v>
      </c>
      <c r="R27" s="1" t="n">
        <v>1.97121272888896</v>
      </c>
      <c r="S27" s="1" t="n">
        <v>48.75</v>
      </c>
      <c r="T27" s="1" t="s">
        <v>173</v>
      </c>
      <c r="U27" s="1" t="s">
        <v>182</v>
      </c>
      <c r="V27" s="1" t="s">
        <v>173</v>
      </c>
      <c r="W27" s="1" t="s">
        <v>173</v>
      </c>
      <c r="X27" s="1" t="s">
        <v>173</v>
      </c>
      <c r="Y27" s="1" t="s">
        <v>173</v>
      </c>
      <c r="Z27" s="1" t="n">
        <v>0</v>
      </c>
      <c r="AA27" s="1" t="s">
        <v>173</v>
      </c>
      <c r="AB27" s="1" t="n">
        <v>12735</v>
      </c>
      <c r="AC27" s="1" t="n">
        <v>2.10549645390071</v>
      </c>
      <c r="AD27" s="1" t="n">
        <v>0.799471992653811</v>
      </c>
      <c r="AE27" s="1" t="n">
        <v>0.351725615251613</v>
      </c>
      <c r="AF27" s="1" t="n">
        <v>2</v>
      </c>
      <c r="AG27" s="1" t="n">
        <v>108</v>
      </c>
      <c r="AH27" s="1" t="n">
        <v>45</v>
      </c>
      <c r="AI27" s="1" t="n">
        <v>16</v>
      </c>
      <c r="AJ27" s="1" t="n">
        <v>46</v>
      </c>
      <c r="AK27" s="1" t="n">
        <v>0</v>
      </c>
      <c r="AL27" s="1" t="n">
        <v>1</v>
      </c>
      <c r="AM27" s="1" t="n">
        <v>2.00934579439252</v>
      </c>
      <c r="AN27" s="1" t="n">
        <v>0.0942414131028152</v>
      </c>
      <c r="AO27" s="1" t="n">
        <v>0.00181069985523792</v>
      </c>
      <c r="AP27" s="1" t="n">
        <v>0.0481286284490872</v>
      </c>
      <c r="AQ27" s="1" t="n">
        <v>11.3161748034376</v>
      </c>
      <c r="AR27" s="1" t="n">
        <v>9.16661215590079</v>
      </c>
      <c r="AS27" s="1" t="n">
        <v>0.0567215958369471</v>
      </c>
      <c r="AT27" s="1" t="n">
        <v>0.0663486556808326</v>
      </c>
      <c r="AU27" s="1" t="n">
        <v>0.335906331309627</v>
      </c>
      <c r="AV27" s="1" t="n">
        <v>0</v>
      </c>
      <c r="AW27" s="1" t="n">
        <v>0.0671292281006071</v>
      </c>
      <c r="AX27" s="1" t="n">
        <v>0.723590633130963</v>
      </c>
      <c r="AY27" s="1" t="n">
        <v>0.104753338554442</v>
      </c>
      <c r="AZ27" s="1" t="n">
        <v>0.265915004336513</v>
      </c>
      <c r="BA27" s="1" t="n">
        <v>7.49349522983521</v>
      </c>
      <c r="BB27" s="1" t="n">
        <v>2.56740624514027</v>
      </c>
      <c r="BC27" s="1" t="n">
        <v>0.89479618386817</v>
      </c>
      <c r="BD27" s="1" t="n">
        <v>0.364267129228101</v>
      </c>
      <c r="BE27" s="1" t="n">
        <v>0.370511708586297</v>
      </c>
      <c r="BF27" s="1" t="n">
        <v>1.24969644405898</v>
      </c>
      <c r="BG27" s="1" t="n">
        <v>12.061144839549</v>
      </c>
      <c r="BH27" s="1" t="n">
        <v>0.91379011274935</v>
      </c>
      <c r="BI27" s="1" t="n">
        <v>12.3970511708586</v>
      </c>
      <c r="BJ27" s="1" t="n">
        <v>2.15414407436096</v>
      </c>
      <c r="BK27" s="1" t="n">
        <v>13.310841283608</v>
      </c>
    </row>
    <row r="28" customFormat="false" ht="12.8" hidden="false" customHeight="false" outlineLevel="0" collapsed="false">
      <c r="A28" s="1" t="s">
        <v>215</v>
      </c>
      <c r="B28" s="6" t="n">
        <v>43117</v>
      </c>
      <c r="C28" s="2" t="n">
        <v>1</v>
      </c>
      <c r="D28" s="1" t="s">
        <v>169</v>
      </c>
      <c r="E28" s="1" t="s">
        <v>175</v>
      </c>
      <c r="F28" s="1" t="n">
        <v>31.7</v>
      </c>
      <c r="G28" s="1" t="n">
        <v>298</v>
      </c>
      <c r="H28" s="1" t="n">
        <v>4.7</v>
      </c>
      <c r="I28" s="1" t="n">
        <v>1.57718120805369</v>
      </c>
      <c r="J28" s="1" t="n">
        <v>272</v>
      </c>
      <c r="K28" s="1" t="n">
        <f aca="false">G28-J28</f>
        <v>26</v>
      </c>
      <c r="L28" s="1" t="n">
        <v>8.7248322147651</v>
      </c>
      <c r="M28" s="1" t="n">
        <v>0.853868745870548</v>
      </c>
      <c r="N28" s="1" t="n">
        <v>0.0172794117647059</v>
      </c>
      <c r="O28" s="1" t="s">
        <v>216</v>
      </c>
      <c r="P28" s="1" t="n">
        <v>70.82734</v>
      </c>
      <c r="Q28" s="1" t="n">
        <v>0.227699017353328</v>
      </c>
      <c r="R28" s="1" t="n">
        <v>0.839155557762224</v>
      </c>
      <c r="S28" s="1" t="n">
        <v>50.18</v>
      </c>
      <c r="T28" s="1" t="s">
        <v>173</v>
      </c>
      <c r="U28" s="1" t="s">
        <v>173</v>
      </c>
      <c r="V28" s="1" t="s">
        <v>173</v>
      </c>
      <c r="W28" s="1" t="s">
        <v>185</v>
      </c>
      <c r="X28" s="1" t="s">
        <v>173</v>
      </c>
      <c r="Y28" s="1" t="s">
        <v>173</v>
      </c>
      <c r="Z28" s="1" t="n">
        <v>1</v>
      </c>
      <c r="AA28" s="1" t="s">
        <v>173</v>
      </c>
      <c r="AB28" s="1" t="n">
        <v>2975</v>
      </c>
      <c r="AC28" s="1" t="n">
        <v>3.06818181818182</v>
      </c>
      <c r="AD28" s="1" t="n">
        <v>1.4744031221304</v>
      </c>
      <c r="AE28" s="1" t="n">
        <v>0.470399453605826</v>
      </c>
      <c r="AF28" s="1" t="n">
        <v>2</v>
      </c>
      <c r="AG28" s="1" t="n">
        <v>81</v>
      </c>
      <c r="AH28" s="1" t="n">
        <v>30</v>
      </c>
      <c r="AI28" s="1" t="n">
        <v>15</v>
      </c>
      <c r="AJ28" s="1" t="n">
        <v>35</v>
      </c>
      <c r="AK28" s="1" t="n">
        <v>0</v>
      </c>
      <c r="AL28" s="1" t="n">
        <v>1</v>
      </c>
      <c r="AM28" s="1" t="n">
        <v>2.0625</v>
      </c>
      <c r="AN28" s="1" t="n">
        <v>0.0921105789786453</v>
      </c>
      <c r="AO28" s="1" t="n">
        <v>0.00199788137807221</v>
      </c>
      <c r="AP28" s="1" t="n">
        <v>0.0520501574746095</v>
      </c>
      <c r="AQ28" s="1" t="n">
        <v>9.71617480343756</v>
      </c>
      <c r="AR28" s="1" t="n">
        <v>6.68661215590079</v>
      </c>
      <c r="AS28" s="1" t="n">
        <v>0.016383062920459</v>
      </c>
      <c r="AT28" s="1" t="n">
        <v>0.0128215275029679</v>
      </c>
      <c r="AU28" s="1" t="n">
        <v>0.432845271072418</v>
      </c>
      <c r="AV28" s="1" t="n">
        <v>0</v>
      </c>
      <c r="AW28" s="1" t="n">
        <v>0.0745548080728136</v>
      </c>
      <c r="AX28" s="1" t="n">
        <v>0.500989315393748</v>
      </c>
      <c r="AY28" s="1" t="n">
        <v>0.169937939964854</v>
      </c>
      <c r="AZ28" s="1" t="n">
        <v>0.154333201424614</v>
      </c>
      <c r="BA28" s="1" t="n">
        <v>3.95805302730511</v>
      </c>
      <c r="BB28" s="1" t="n">
        <v>1.55242058793384</v>
      </c>
      <c r="BC28" s="1" t="n">
        <v>0.410526315789474</v>
      </c>
      <c r="BD28" s="1" t="n">
        <v>0.232330827067669</v>
      </c>
      <c r="BE28" s="1" t="n">
        <v>0.246695686584883</v>
      </c>
      <c r="BF28" s="1" t="n">
        <v>1.03759398496241</v>
      </c>
      <c r="BG28" s="1" t="n">
        <v>6.72429758607044</v>
      </c>
      <c r="BH28" s="1" t="n">
        <v>0.604748713889988</v>
      </c>
      <c r="BI28" s="1" t="n">
        <v>7.15714285714286</v>
      </c>
      <c r="BJ28" s="1" t="n">
        <v>1.15743280307186</v>
      </c>
      <c r="BK28" s="1" t="n">
        <v>7.76189157103284</v>
      </c>
    </row>
    <row r="29" customFormat="false" ht="12.8" hidden="false" customHeight="false" outlineLevel="0" collapsed="false">
      <c r="A29" s="1" t="s">
        <v>217</v>
      </c>
      <c r="B29" s="6" t="n">
        <v>43117</v>
      </c>
      <c r="C29" s="2" t="n">
        <v>1</v>
      </c>
      <c r="D29" s="1" t="s">
        <v>169</v>
      </c>
      <c r="E29" s="1" t="s">
        <v>175</v>
      </c>
      <c r="F29" s="1" t="n">
        <v>28.5</v>
      </c>
      <c r="G29" s="1" t="n">
        <v>238</v>
      </c>
      <c r="H29" s="1" t="n">
        <v>4.8</v>
      </c>
      <c r="I29" s="1" t="n">
        <v>2.01680672268908</v>
      </c>
      <c r="J29" s="1" t="n">
        <v>209.2</v>
      </c>
      <c r="K29" s="1" t="n">
        <f aca="false">G29-J29</f>
        <v>28.8</v>
      </c>
      <c r="L29" s="1" t="n">
        <v>12.1008403361345</v>
      </c>
      <c r="M29" s="1" t="n">
        <v>0.903705863612556</v>
      </c>
      <c r="N29" s="1" t="n">
        <v>0.0229445506692161</v>
      </c>
      <c r="O29" s="1" t="s">
        <v>218</v>
      </c>
      <c r="P29" s="1" t="s">
        <v>173</v>
      </c>
      <c r="Q29" s="1" t="n">
        <v>0.400651635883431</v>
      </c>
      <c r="R29" s="1" t="n">
        <v>1.04894444720278</v>
      </c>
      <c r="S29" s="1" t="n">
        <v>50.97</v>
      </c>
      <c r="T29" s="1" t="s">
        <v>173</v>
      </c>
      <c r="U29" s="1" t="s">
        <v>182</v>
      </c>
      <c r="V29" s="1" t="s">
        <v>173</v>
      </c>
      <c r="W29" s="1" t="s">
        <v>173</v>
      </c>
      <c r="X29" s="1" t="s">
        <v>173</v>
      </c>
      <c r="Y29" s="1" t="s">
        <v>173</v>
      </c>
      <c r="Z29" s="1" t="n">
        <v>1</v>
      </c>
      <c r="AA29" s="1" t="s">
        <v>173</v>
      </c>
      <c r="AB29" s="1" t="n">
        <v>2614</v>
      </c>
      <c r="AC29" s="1" t="n">
        <v>2.33454545454545</v>
      </c>
      <c r="AD29" s="1" t="n">
        <v>1.01239669421488</v>
      </c>
      <c r="AE29" s="1" t="n">
        <v>0.339440995065128</v>
      </c>
      <c r="AF29" s="1" t="n">
        <v>2</v>
      </c>
      <c r="AG29" s="1" t="n">
        <v>101</v>
      </c>
      <c r="AH29" s="1" t="n">
        <v>33</v>
      </c>
      <c r="AI29" s="1" t="n">
        <v>20</v>
      </c>
      <c r="AJ29" s="1" t="n">
        <v>46</v>
      </c>
      <c r="AK29" s="1" t="n">
        <v>0</v>
      </c>
      <c r="AL29" s="1" t="n">
        <v>2</v>
      </c>
      <c r="AM29" s="1" t="n">
        <v>2.13131313131313</v>
      </c>
      <c r="AN29" s="1" t="n">
        <v>0.106222631990991</v>
      </c>
      <c r="AO29" s="1" t="n">
        <v>0.00257404230149281</v>
      </c>
      <c r="AP29" s="1" t="n">
        <v>0.0824280685191325</v>
      </c>
      <c r="AQ29" s="1" t="n">
        <v>9.63617480343756</v>
      </c>
      <c r="AR29" s="1" t="n">
        <v>7.10661215590079</v>
      </c>
      <c r="AS29" s="1" t="n">
        <v>0.0207987942727958</v>
      </c>
      <c r="AT29" s="1" t="n">
        <v>0.039336850037679</v>
      </c>
      <c r="AU29" s="1" t="n">
        <v>0.400828937452901</v>
      </c>
      <c r="AV29" s="1" t="n">
        <v>0</v>
      </c>
      <c r="AW29" s="1" t="n">
        <v>0.0807083647324793</v>
      </c>
      <c r="AX29" s="1" t="n">
        <v>0.472720422004521</v>
      </c>
      <c r="AY29" s="1" t="n">
        <v>0.292050282465529</v>
      </c>
      <c r="AZ29" s="1" t="n">
        <v>0.290504898266767</v>
      </c>
      <c r="BA29" s="1" t="n">
        <v>5.89374529012811</v>
      </c>
      <c r="BB29" s="1" t="n">
        <v>2.31684195566559</v>
      </c>
      <c r="BC29" s="1" t="n">
        <v>0.937302185380558</v>
      </c>
      <c r="BD29" s="1" t="n">
        <v>0.181537302185381</v>
      </c>
      <c r="BE29" s="1" t="n">
        <v>0.250489826676714</v>
      </c>
      <c r="BF29" s="1" t="n">
        <v>1.01439336850038</v>
      </c>
      <c r="BG29" s="1" t="n">
        <v>10.1624717407687</v>
      </c>
      <c r="BH29" s="1" t="n">
        <v>0.613564431047476</v>
      </c>
      <c r="BI29" s="1" t="n">
        <v>10.5633006782216</v>
      </c>
      <c r="BJ29" s="1" t="n">
        <v>1.17935702199662</v>
      </c>
      <c r="BK29" s="1" t="n">
        <v>11.176865109269</v>
      </c>
    </row>
    <row r="30" customFormat="false" ht="12.8" hidden="false" customHeight="false" outlineLevel="0" collapsed="false">
      <c r="A30" s="1" t="s">
        <v>219</v>
      </c>
      <c r="B30" s="6" t="n">
        <v>43117</v>
      </c>
      <c r="C30" s="2" t="n">
        <v>1</v>
      </c>
      <c r="D30" s="1" t="s">
        <v>169</v>
      </c>
      <c r="E30" s="1" t="s">
        <v>175</v>
      </c>
      <c r="F30" s="1" t="n">
        <v>27.9</v>
      </c>
      <c r="G30" s="1" t="n">
        <v>226</v>
      </c>
      <c r="H30" s="1" t="n">
        <v>3.3</v>
      </c>
      <c r="I30" s="1" t="n">
        <v>1.46017699115044</v>
      </c>
      <c r="J30" s="1" t="n">
        <v>187.8</v>
      </c>
      <c r="K30" s="1" t="n">
        <f aca="false">G30-J30</f>
        <v>38.2</v>
      </c>
      <c r="L30" s="1" t="n">
        <v>16.9026548672566</v>
      </c>
      <c r="M30" s="1" t="n">
        <v>0.864734882092846</v>
      </c>
      <c r="N30" s="1" t="n">
        <v>0.0175718849840256</v>
      </c>
      <c r="P30" s="1" t="n">
        <v>104.567889467905</v>
      </c>
      <c r="Q30" s="1" t="n">
        <v>0.480221767851526</v>
      </c>
      <c r="R30" s="1" t="n">
        <v>1.04894444720278</v>
      </c>
      <c r="S30" s="1" t="n">
        <v>49.79</v>
      </c>
      <c r="T30" s="1" t="s">
        <v>173</v>
      </c>
      <c r="U30" s="1" t="s">
        <v>173</v>
      </c>
      <c r="V30" s="1" t="s">
        <v>173</v>
      </c>
      <c r="W30" s="1" t="s">
        <v>173</v>
      </c>
      <c r="X30" s="1" t="s">
        <v>173</v>
      </c>
      <c r="Y30" s="1" t="s">
        <v>173</v>
      </c>
      <c r="Z30" s="1" t="n">
        <v>0</v>
      </c>
      <c r="AA30" s="1" t="s">
        <v>173</v>
      </c>
      <c r="AB30" s="1" t="n">
        <v>1467</v>
      </c>
      <c r="AC30" s="1" t="n">
        <v>3.26378539493294</v>
      </c>
      <c r="AD30" s="1" t="n">
        <v>1.20925160697888</v>
      </c>
      <c r="AE30" s="1" t="n">
        <v>0.167067046160825</v>
      </c>
      <c r="AF30" s="1" t="n">
        <v>2</v>
      </c>
      <c r="AG30" s="1" t="n">
        <v>79</v>
      </c>
      <c r="AH30" s="1" t="n">
        <v>21</v>
      </c>
      <c r="AI30" s="1" t="n">
        <v>13</v>
      </c>
      <c r="AJ30" s="1" t="n">
        <v>44</v>
      </c>
      <c r="AK30" s="1" t="n">
        <v>0</v>
      </c>
      <c r="AL30" s="1" t="n">
        <v>1</v>
      </c>
      <c r="AM30" s="1" t="n">
        <v>2.29487179487179</v>
      </c>
      <c r="AN30" s="1" t="n">
        <v>0.109610491060084</v>
      </c>
      <c r="AO30" s="1" t="n">
        <v>0.00162984108068752</v>
      </c>
      <c r="AP30" s="1" t="n">
        <v>0.0518523367554462</v>
      </c>
      <c r="AQ30" s="1" t="n">
        <v>10.3161748034376</v>
      </c>
      <c r="AR30" s="1" t="n">
        <v>7.32661215590079</v>
      </c>
      <c r="AS30" s="1" t="n">
        <v>0.0524553571428571</v>
      </c>
      <c r="AT30" s="1" t="n">
        <v>0.0475446428571429</v>
      </c>
      <c r="AU30" s="1" t="n">
        <v>0.478348214285714</v>
      </c>
      <c r="AV30" s="1" t="n">
        <v>0</v>
      </c>
      <c r="AW30" s="1" t="n">
        <v>0.0763392857142857</v>
      </c>
      <c r="AX30" s="1" t="n">
        <v>0.505357142857143</v>
      </c>
      <c r="AY30" s="1" t="n">
        <v>0.275700222830008</v>
      </c>
      <c r="AZ30" s="1" t="n">
        <v>0.402901785714286</v>
      </c>
      <c r="BA30" s="1" t="n">
        <v>5.71205357142857</v>
      </c>
      <c r="BB30" s="1" t="n">
        <v>2.82028192002713</v>
      </c>
      <c r="BC30" s="1" t="n">
        <v>0.900892857142857</v>
      </c>
      <c r="BD30" s="1" t="n">
        <v>0.204910714285714</v>
      </c>
      <c r="BE30" s="1" t="n">
        <v>0.282366071428571</v>
      </c>
      <c r="BF30" s="1" t="n">
        <v>1.16004464285714</v>
      </c>
      <c r="BG30" s="1" t="n">
        <v>10.5991071428571</v>
      </c>
      <c r="BH30" s="1" t="n">
        <v>0.681696428571429</v>
      </c>
      <c r="BI30" s="1" t="n">
        <v>11.0774553571429</v>
      </c>
      <c r="BJ30" s="1" t="n">
        <v>1.05646290247317</v>
      </c>
      <c r="BK30" s="1" t="n">
        <v>11.7591517857143</v>
      </c>
    </row>
    <row r="31" customFormat="false" ht="12.8" hidden="false" customHeight="false" outlineLevel="0" collapsed="false">
      <c r="A31" s="1" t="s">
        <v>220</v>
      </c>
      <c r="B31" s="6" t="n">
        <v>43117</v>
      </c>
      <c r="C31" s="2" t="n">
        <v>1</v>
      </c>
      <c r="D31" s="1" t="s">
        <v>169</v>
      </c>
      <c r="E31" s="1" t="s">
        <v>175</v>
      </c>
      <c r="F31" s="1" t="n">
        <v>31.1</v>
      </c>
      <c r="G31" s="1" t="n">
        <v>334</v>
      </c>
      <c r="H31" s="1" t="n">
        <v>5</v>
      </c>
      <c r="I31" s="1" t="n">
        <v>1.49700598802395</v>
      </c>
      <c r="J31" s="1" t="n">
        <v>285.3</v>
      </c>
      <c r="K31" s="1" t="n">
        <f aca="false">G31-J31</f>
        <v>48.7</v>
      </c>
      <c r="L31" s="1" t="n">
        <v>14.5808383233533</v>
      </c>
      <c r="M31" s="1" t="n">
        <v>0.948463460935523</v>
      </c>
      <c r="N31" s="1" t="n">
        <v>0.0175254118471784</v>
      </c>
      <c r="P31" s="1" t="n">
        <v>96.5081085918826</v>
      </c>
      <c r="Q31" s="1" t="n">
        <v>0.336656349191617</v>
      </c>
      <c r="R31" s="1" t="n">
        <v>0.687232480439646</v>
      </c>
      <c r="S31" s="1" t="n">
        <v>26.38</v>
      </c>
      <c r="T31" s="1" t="s">
        <v>173</v>
      </c>
      <c r="U31" s="1" t="s">
        <v>173</v>
      </c>
      <c r="V31" s="1" t="s">
        <v>173</v>
      </c>
      <c r="W31" s="1" t="s">
        <v>173</v>
      </c>
      <c r="X31" s="1" t="s">
        <v>173</v>
      </c>
      <c r="Y31" s="1" t="s">
        <v>173</v>
      </c>
      <c r="Z31" s="1" t="n">
        <v>0</v>
      </c>
      <c r="AA31" s="1" t="s">
        <v>173</v>
      </c>
      <c r="AB31" s="1" t="n">
        <v>9925</v>
      </c>
      <c r="AC31" s="1" t="n">
        <v>2.42832167832168</v>
      </c>
      <c r="AD31" s="1" t="n">
        <v>0.831611570247934</v>
      </c>
      <c r="AE31" s="1" t="n">
        <v>0.0342687703745004</v>
      </c>
      <c r="AF31" s="1" t="n">
        <v>2</v>
      </c>
      <c r="AG31" s="1" t="n">
        <v>97</v>
      </c>
      <c r="AH31" s="1" t="n">
        <v>26</v>
      </c>
      <c r="AI31" s="1" t="n">
        <v>13</v>
      </c>
      <c r="AJ31" s="1" t="n">
        <v>58</v>
      </c>
      <c r="AK31" s="1" t="n">
        <v>0</v>
      </c>
      <c r="AL31" s="1" t="n">
        <v>0</v>
      </c>
      <c r="AM31" s="1" t="n">
        <v>2.3298969072165</v>
      </c>
      <c r="AN31" s="1" t="n">
        <v>0.0637576701964989</v>
      </c>
      <c r="AO31" s="1" t="n">
        <v>0.00142060359423496</v>
      </c>
      <c r="AP31" s="1" t="n">
        <v>0.0507643733042668</v>
      </c>
      <c r="AQ31" s="1" t="n">
        <v>6.55617480343756</v>
      </c>
      <c r="AR31" s="1" t="n">
        <v>9.36661215590079</v>
      </c>
      <c r="AS31" s="1" t="n">
        <v>0.0629530713468142</v>
      </c>
      <c r="AT31" s="1" t="n">
        <v>0.075543685616177</v>
      </c>
      <c r="AU31" s="1" t="n">
        <v>0.383899275085845</v>
      </c>
      <c r="AV31" s="1" t="n">
        <v>0</v>
      </c>
      <c r="AW31" s="1" t="n">
        <v>0.0602060282334987</v>
      </c>
      <c r="AX31" s="1" t="n">
        <v>0.651964898893552</v>
      </c>
      <c r="AY31" s="1" t="n">
        <v>0.129792062503131</v>
      </c>
      <c r="AZ31" s="1" t="n">
        <v>0.216947729874094</v>
      </c>
      <c r="BA31" s="1" t="n">
        <v>3.92598244944678</v>
      </c>
      <c r="BB31" s="1" t="n">
        <v>1.39206982227367</v>
      </c>
      <c r="BC31" s="1" t="n">
        <v>0.58992750858451</v>
      </c>
      <c r="BD31" s="1" t="n">
        <v>0.229149179702404</v>
      </c>
      <c r="BE31" s="1" t="n">
        <v>0.319801602441816</v>
      </c>
      <c r="BF31" s="1" t="n">
        <v>1.23456695917589</v>
      </c>
      <c r="BG31" s="1" t="n">
        <v>6.8036703548264</v>
      </c>
      <c r="BH31" s="1" t="n">
        <v>0.850667684090042</v>
      </c>
      <c r="BI31" s="1" t="n">
        <v>7.18756962991225</v>
      </c>
      <c r="BJ31" s="1" t="n">
        <v>1.69827072152654</v>
      </c>
      <c r="BK31" s="1" t="n">
        <v>8.03823731400229</v>
      </c>
    </row>
    <row r="32" customFormat="false" ht="12.8" hidden="false" customHeight="false" outlineLevel="0" collapsed="false">
      <c r="A32" s="1" t="s">
        <v>221</v>
      </c>
      <c r="B32" s="6" t="n">
        <v>43117</v>
      </c>
      <c r="C32" s="2" t="n">
        <v>1</v>
      </c>
      <c r="D32" s="1" t="s">
        <v>169</v>
      </c>
      <c r="E32" s="1" t="s">
        <v>175</v>
      </c>
      <c r="F32" s="1" t="n">
        <v>31.2</v>
      </c>
      <c r="G32" s="1" t="n">
        <v>368</v>
      </c>
      <c r="H32" s="1" t="n">
        <v>9.1</v>
      </c>
      <c r="I32" s="1" t="n">
        <v>2.47282608695652</v>
      </c>
      <c r="J32" s="1" t="n">
        <v>300.4</v>
      </c>
      <c r="K32" s="1" t="n">
        <f aca="false">G32-J32</f>
        <v>67.6</v>
      </c>
      <c r="L32" s="1" t="n">
        <v>18.3695652173913</v>
      </c>
      <c r="M32" s="1" t="n">
        <v>0.989090763499048</v>
      </c>
      <c r="N32" s="1" t="n">
        <v>0.0302929427430093</v>
      </c>
      <c r="O32" s="1" t="s">
        <v>222</v>
      </c>
      <c r="P32" s="1" t="n">
        <v>88.17454</v>
      </c>
      <c r="Q32" s="1" t="n">
        <v>0.135913361556744</v>
      </c>
      <c r="R32" s="1" t="n">
        <v>0.839155557762224</v>
      </c>
      <c r="S32" s="1" t="n">
        <v>54.78</v>
      </c>
      <c r="T32" s="1" t="s">
        <v>173</v>
      </c>
      <c r="U32" s="1" t="s">
        <v>182</v>
      </c>
      <c r="V32" s="1" t="s">
        <v>173</v>
      </c>
      <c r="W32" s="1" t="s">
        <v>173</v>
      </c>
      <c r="X32" s="1" t="s">
        <v>173</v>
      </c>
      <c r="Y32" s="1" t="s">
        <v>173</v>
      </c>
      <c r="Z32" s="1" t="n">
        <v>2</v>
      </c>
      <c r="AA32" s="1" t="s">
        <v>173</v>
      </c>
      <c r="AB32" s="1" t="n">
        <v>1495</v>
      </c>
      <c r="AC32" s="1" t="n">
        <v>3.19377990430622</v>
      </c>
      <c r="AD32" s="1" t="n">
        <v>1.72348484848485</v>
      </c>
      <c r="AE32" s="1" t="n">
        <v>0</v>
      </c>
      <c r="AF32" s="1" t="n">
        <v>2</v>
      </c>
      <c r="AG32" s="1" t="n">
        <v>100</v>
      </c>
      <c r="AH32" s="1" t="n">
        <v>20</v>
      </c>
      <c r="AI32" s="1" t="n">
        <v>12</v>
      </c>
      <c r="AJ32" s="1" t="n">
        <v>67</v>
      </c>
      <c r="AK32" s="1" t="n">
        <v>0</v>
      </c>
      <c r="AL32" s="1" t="n">
        <v>1</v>
      </c>
      <c r="AM32" s="1" t="n">
        <v>2.47474747474748</v>
      </c>
      <c r="AN32" s="1" t="n">
        <v>0.0524229946532496</v>
      </c>
      <c r="AO32" s="1" t="n">
        <v>0.00112338274749648</v>
      </c>
      <c r="AP32" s="1" t="s">
        <v>173</v>
      </c>
      <c r="AQ32" s="1" t="n">
        <v>12.6761748034376</v>
      </c>
      <c r="AR32" s="1" t="n">
        <v>1.90661215590079</v>
      </c>
      <c r="AS32" s="1" t="n">
        <v>0.0927631578947368</v>
      </c>
      <c r="AT32" s="1" t="n">
        <v>0.0845394736842105</v>
      </c>
      <c r="AU32" s="1" t="n">
        <v>0.373684210526316</v>
      </c>
      <c r="AV32" s="1" t="n">
        <v>0</v>
      </c>
      <c r="AW32" s="1" t="n">
        <v>0.122039473684211</v>
      </c>
      <c r="AX32" s="1" t="n">
        <v>0.682894736842105</v>
      </c>
      <c r="AY32" s="1" t="n">
        <v>0.162844886032066</v>
      </c>
      <c r="AZ32" s="1" t="n">
        <v>0.308980263157895</v>
      </c>
      <c r="BA32" s="1" t="n">
        <v>5.80592105263158</v>
      </c>
      <c r="BB32" s="1" t="n">
        <v>1.88057616659951</v>
      </c>
      <c r="BC32" s="1" t="n">
        <v>0.818092105263158</v>
      </c>
      <c r="BD32" s="1" t="n">
        <v>0.203157894736842</v>
      </c>
      <c r="BE32" s="1" t="n">
        <v>0.377631578947368</v>
      </c>
      <c r="BF32" s="1" t="n">
        <v>1.35592105263158</v>
      </c>
      <c r="BG32" s="1" t="n">
        <v>9.55720394736842</v>
      </c>
      <c r="BH32" s="1" t="n">
        <v>0.982236842105263</v>
      </c>
      <c r="BI32" s="1" t="n">
        <v>9.93088815789474</v>
      </c>
      <c r="BJ32" s="1" t="n">
        <v>1.82746478873239</v>
      </c>
      <c r="BK32" s="1" t="n">
        <v>10.913125</v>
      </c>
      <c r="BL32" s="7" t="s">
        <v>223</v>
      </c>
      <c r="BM32" s="7" t="s">
        <v>223</v>
      </c>
      <c r="BN32" s="7" t="s">
        <v>223</v>
      </c>
      <c r="BO32" s="7" t="s">
        <v>223</v>
      </c>
      <c r="BP32" s="7" t="s">
        <v>223</v>
      </c>
      <c r="BQ32" s="7" t="s">
        <v>223</v>
      </c>
      <c r="BR32" s="7" t="s">
        <v>223</v>
      </c>
      <c r="BS32" s="7" t="s">
        <v>223</v>
      </c>
      <c r="BT32" s="7" t="s">
        <v>224</v>
      </c>
      <c r="BU32" s="7" t="s">
        <v>224</v>
      </c>
      <c r="BV32" s="7" t="s">
        <v>223</v>
      </c>
      <c r="BW32" s="7" t="s">
        <v>223</v>
      </c>
      <c r="BX32" s="7" t="s">
        <v>223</v>
      </c>
      <c r="BY32" s="7" t="n">
        <v>5.98362722528443</v>
      </c>
      <c r="BZ32" s="7" t="s">
        <v>223</v>
      </c>
      <c r="CA32" s="7" t="s">
        <v>223</v>
      </c>
      <c r="CB32" s="7" t="s">
        <v>223</v>
      </c>
      <c r="CC32" s="7" t="s">
        <v>223</v>
      </c>
      <c r="CD32" s="7" t="s">
        <v>223</v>
      </c>
      <c r="CE32" s="7" t="s">
        <v>224</v>
      </c>
      <c r="CF32" s="7" t="s">
        <v>223</v>
      </c>
      <c r="CG32" s="7" t="s">
        <v>223</v>
      </c>
      <c r="CH32" s="7" t="s">
        <v>223</v>
      </c>
      <c r="CI32" s="7" t="s">
        <v>223</v>
      </c>
      <c r="CJ32" s="8" t="n">
        <v>5.98362722528443</v>
      </c>
      <c r="CK32" s="7" t="s">
        <v>223</v>
      </c>
      <c r="CL32" s="7" t="s">
        <v>223</v>
      </c>
      <c r="CM32" s="7" t="s">
        <v>223</v>
      </c>
      <c r="CN32" s="7" t="s">
        <v>224</v>
      </c>
      <c r="CO32" s="7" t="s">
        <v>224</v>
      </c>
      <c r="CP32" s="7" t="s">
        <v>223</v>
      </c>
      <c r="CQ32" s="7" t="s">
        <v>223</v>
      </c>
      <c r="CR32" s="7" t="n">
        <v>6.16579970411035</v>
      </c>
      <c r="CS32" s="7" t="n">
        <v>9.96147178796137</v>
      </c>
      <c r="CT32" s="7" t="s">
        <v>224</v>
      </c>
      <c r="CU32" s="7" t="n">
        <v>34.8308586950454</v>
      </c>
      <c r="CV32" s="7" t="n">
        <v>23.7267135880826</v>
      </c>
      <c r="CW32" s="7" t="n">
        <v>32.9606699694263</v>
      </c>
      <c r="CX32" s="7" t="n">
        <v>82.5721023155315</v>
      </c>
      <c r="CY32" s="7" t="n">
        <v>11.3449193875963</v>
      </c>
      <c r="CZ32" s="7" t="s">
        <v>224</v>
      </c>
      <c r="DA32" s="7" t="n">
        <v>6.93164118364018</v>
      </c>
      <c r="DB32" s="7" t="n">
        <v>176.558760020491</v>
      </c>
      <c r="DC32" s="7" t="n">
        <v>51.9670640565292</v>
      </c>
      <c r="DD32" s="7" t="n">
        <v>222.621630728658</v>
      </c>
      <c r="DE32" s="7" t="s">
        <v>224</v>
      </c>
      <c r="DF32" s="7" t="s">
        <v>223</v>
      </c>
      <c r="DG32" s="7" t="n">
        <v>11.6038367366165</v>
      </c>
      <c r="DH32" s="7" t="n">
        <v>38.3304000494035</v>
      </c>
      <c r="DI32" s="7" t="n">
        <v>69.2355561858065</v>
      </c>
      <c r="DJ32" s="7" t="s">
        <v>224</v>
      </c>
      <c r="DK32" s="9" t="n">
        <f aca="false">SUM(CK32:DJ32)</f>
        <v>778.811424408899</v>
      </c>
      <c r="DL32" s="7" t="s">
        <v>223</v>
      </c>
      <c r="DM32" s="7" t="s">
        <v>223</v>
      </c>
      <c r="DN32" s="7" t="s">
        <v>223</v>
      </c>
      <c r="DO32" s="7" t="s">
        <v>223</v>
      </c>
      <c r="DP32" s="7" t="s">
        <v>223</v>
      </c>
      <c r="DQ32" s="7" t="s">
        <v>223</v>
      </c>
      <c r="DR32" s="7" t="s">
        <v>223</v>
      </c>
      <c r="DS32" s="7" t="s">
        <v>223</v>
      </c>
      <c r="DT32" s="7" t="s">
        <v>223</v>
      </c>
      <c r="DU32" s="7" t="s">
        <v>223</v>
      </c>
      <c r="DV32" s="7" t="s">
        <v>223</v>
      </c>
      <c r="DW32" s="7" t="n">
        <v>8.0240269860061</v>
      </c>
      <c r="DX32" s="7" t="s">
        <v>223</v>
      </c>
      <c r="DY32" s="7" t="n">
        <v>2.84654543305588</v>
      </c>
      <c r="DZ32" s="7" t="s">
        <v>223</v>
      </c>
      <c r="EA32" s="7" t="s">
        <v>223</v>
      </c>
      <c r="EB32" s="7" t="s">
        <v>223</v>
      </c>
      <c r="EC32" s="7" t="s">
        <v>223</v>
      </c>
      <c r="ED32" s="7" t="s">
        <v>223</v>
      </c>
      <c r="EE32" s="7" t="s">
        <v>223</v>
      </c>
      <c r="EF32" s="7" t="s">
        <v>223</v>
      </c>
      <c r="EG32" s="7" t="s">
        <v>223</v>
      </c>
      <c r="EH32" s="7" t="s">
        <v>223</v>
      </c>
      <c r="EI32" s="7" t="s">
        <v>223</v>
      </c>
      <c r="EJ32" s="7" t="s">
        <v>223</v>
      </c>
      <c r="EK32" s="7" t="s">
        <v>223</v>
      </c>
      <c r="EL32" s="7" t="s">
        <v>223</v>
      </c>
      <c r="EM32" s="10" t="n">
        <f aca="false">SUM(DL32:EL32)</f>
        <v>10.870572419062</v>
      </c>
      <c r="EN32" s="7" t="s">
        <v>223</v>
      </c>
      <c r="EO32" s="7" t="s">
        <v>224</v>
      </c>
      <c r="EP32" s="7" t="s">
        <v>223</v>
      </c>
      <c r="EQ32" s="7" t="s">
        <v>223</v>
      </c>
      <c r="ER32" s="7" t="s">
        <v>223</v>
      </c>
      <c r="ES32" s="7" t="s">
        <v>223</v>
      </c>
      <c r="ET32" s="7" t="s">
        <v>223</v>
      </c>
      <c r="EU32" s="10" t="n">
        <f aca="false">SUM(EN32:ET32)</f>
        <v>0</v>
      </c>
      <c r="EV32" s="1" t="n">
        <v>1.35218798464491</v>
      </c>
      <c r="EW32" s="1" t="n">
        <v>0.664711938579653</v>
      </c>
      <c r="EX32" s="1" t="n">
        <v>0.0284551343570057</v>
      </c>
      <c r="EY32" s="1" t="s">
        <v>225</v>
      </c>
      <c r="EZ32" s="1" t="n">
        <v>0.261787236084453</v>
      </c>
      <c r="FA32" s="1" t="n">
        <v>33.8889268138195</v>
      </c>
      <c r="FB32" s="1" t="n">
        <v>585.652193282149</v>
      </c>
      <c r="FC32" s="1" t="n">
        <v>0.364225719769673</v>
      </c>
      <c r="FD32" s="1" t="n">
        <v>7.89686888675622</v>
      </c>
      <c r="FE32" s="1" t="s">
        <v>225</v>
      </c>
      <c r="FF32" s="1" t="n">
        <v>0.0500810364683301</v>
      </c>
      <c r="FG32" s="1" t="n">
        <v>0.0478046257197696</v>
      </c>
      <c r="FH32" s="1" t="n">
        <v>2.12844404990403</v>
      </c>
      <c r="FI32" s="1" t="s">
        <v>225</v>
      </c>
      <c r="FJ32" s="1" t="n">
        <v>0.118373358925144</v>
      </c>
      <c r="FK32" s="1" t="n">
        <v>151.06489368522</v>
      </c>
      <c r="FL32" s="1" t="n">
        <v>1.07000638466411</v>
      </c>
    </row>
    <row r="33" customFormat="false" ht="12.8" hidden="false" customHeight="false" outlineLevel="0" collapsed="false">
      <c r="A33" s="11" t="s">
        <v>226</v>
      </c>
      <c r="B33" s="12" t="n">
        <v>43123</v>
      </c>
      <c r="C33" s="2" t="n">
        <v>1</v>
      </c>
      <c r="D33" s="11" t="s">
        <v>227</v>
      </c>
      <c r="E33" s="11" t="s">
        <v>175</v>
      </c>
      <c r="F33" s="11" t="n">
        <v>44.1</v>
      </c>
      <c r="G33" s="11" t="n">
        <v>453.7</v>
      </c>
      <c r="H33" s="11" t="n">
        <v>11.7</v>
      </c>
      <c r="I33" s="11" t="n">
        <v>2.57879656160458</v>
      </c>
      <c r="J33" s="13" t="n">
        <v>404.4</v>
      </c>
      <c r="K33" s="13" t="n">
        <v>0.471514853749769</v>
      </c>
      <c r="L33" s="13" t="n">
        <v>10.4960613157334</v>
      </c>
      <c r="M33" s="13" t="n">
        <v>0.0289317507418398</v>
      </c>
      <c r="N33" s="11" t="n">
        <v>49.3</v>
      </c>
      <c r="O33" s="11"/>
      <c r="P33" s="11" t="s">
        <v>173</v>
      </c>
      <c r="Q33" s="14" t="n">
        <v>0.204330219675566</v>
      </c>
      <c r="R33" s="15" t="n">
        <v>5.95662304549792</v>
      </c>
      <c r="S33" s="14" t="n">
        <v>27.63</v>
      </c>
      <c r="T33" s="11" t="s">
        <v>173</v>
      </c>
      <c r="U33" s="11" t="s">
        <v>182</v>
      </c>
      <c r="V33" s="11" t="s">
        <v>173</v>
      </c>
      <c r="W33" s="11" t="s">
        <v>173</v>
      </c>
      <c r="X33" s="11" t="s">
        <v>173</v>
      </c>
      <c r="Y33" s="11" t="s">
        <v>173</v>
      </c>
      <c r="Z33" s="15" t="n">
        <v>0</v>
      </c>
      <c r="AA33" s="11" t="s">
        <v>173</v>
      </c>
      <c r="AB33" s="11" t="n">
        <v>2410</v>
      </c>
      <c r="AC33" s="15" t="n">
        <v>5.19283746556474</v>
      </c>
      <c r="AD33" s="15" t="n">
        <v>1.85898238584189</v>
      </c>
      <c r="AE33" s="15" t="n">
        <v>1.60871317735601</v>
      </c>
      <c r="AF33" s="16" t="n">
        <v>2</v>
      </c>
      <c r="AG33" s="16" t="n">
        <v>120</v>
      </c>
      <c r="AH33" s="16" t="n">
        <v>34</v>
      </c>
      <c r="AI33" s="16" t="n">
        <v>21</v>
      </c>
      <c r="AJ33" s="16" t="n">
        <v>64</v>
      </c>
      <c r="AK33" s="16" t="n">
        <v>0</v>
      </c>
      <c r="AL33" s="16" t="n">
        <v>1</v>
      </c>
      <c r="AM33" s="17" t="n">
        <v>2.25210084033613</v>
      </c>
      <c r="AN33" s="17" t="n">
        <v>0.175023079811957</v>
      </c>
      <c r="AO33" s="18" t="n">
        <v>0.00132691053512976</v>
      </c>
      <c r="AP33" s="16" t="n">
        <v>0.080799423296712</v>
      </c>
      <c r="AQ33" s="17" t="n">
        <v>10.1961748034376</v>
      </c>
      <c r="AR33" s="16" t="n">
        <v>10.5866121559008</v>
      </c>
      <c r="AS33" s="19" t="n">
        <v>0.0344025661587811</v>
      </c>
      <c r="AT33" s="19" t="n">
        <v>0.0187650360866079</v>
      </c>
      <c r="AU33" s="19" t="n">
        <v>0.461668003207698</v>
      </c>
      <c r="AV33" s="19" t="n">
        <v>0.0122694466720128</v>
      </c>
      <c r="AW33" s="19" t="n">
        <v>0.131355252606255</v>
      </c>
      <c r="AX33" s="19" t="n">
        <v>0.493905372894948</v>
      </c>
      <c r="AY33" s="19" t="n">
        <v>0.081537507738548</v>
      </c>
      <c r="AZ33" s="19" t="n">
        <v>0.222437850842021</v>
      </c>
      <c r="BA33" s="19" t="n">
        <v>3.97674418604651</v>
      </c>
      <c r="BB33" s="19" t="n">
        <v>1.47090836234966</v>
      </c>
      <c r="BC33" s="19" t="n">
        <v>0.451323175621492</v>
      </c>
      <c r="BD33" s="19" t="n">
        <v>0.22626303127506</v>
      </c>
      <c r="BE33" s="19" t="n">
        <v>0.300481154771452</v>
      </c>
      <c r="BF33" s="20" t="n">
        <v>1.1523656776263</v>
      </c>
      <c r="BG33" s="20" t="n">
        <v>6.72969526864475</v>
      </c>
      <c r="BH33" s="20" t="n">
        <v>0.690697674418605</v>
      </c>
      <c r="BI33" s="20" t="n">
        <v>7.19136327185245</v>
      </c>
      <c r="BJ33" s="20" t="n">
        <v>1.06982803543512</v>
      </c>
      <c r="BK33" s="20" t="n">
        <v>7.88206094627105</v>
      </c>
    </row>
    <row r="34" customFormat="false" ht="12.8" hidden="false" customHeight="false" outlineLevel="0" collapsed="false">
      <c r="A34" s="11" t="s">
        <v>228</v>
      </c>
      <c r="B34" s="12" t="n">
        <v>43123</v>
      </c>
      <c r="C34" s="2" t="n">
        <v>1</v>
      </c>
      <c r="D34" s="11" t="s">
        <v>227</v>
      </c>
      <c r="E34" s="11" t="s">
        <v>170</v>
      </c>
      <c r="F34" s="11" t="n">
        <v>32.5</v>
      </c>
      <c r="G34" s="11" t="n">
        <v>245.28</v>
      </c>
      <c r="H34" s="11" t="n">
        <v>1.9</v>
      </c>
      <c r="I34" s="11" t="n">
        <v>0.774624918460535</v>
      </c>
      <c r="J34" s="13" t="n">
        <v>241.08</v>
      </c>
      <c r="K34" s="13" t="n">
        <v>0.702281292671825</v>
      </c>
      <c r="L34" s="13" t="n">
        <v>1.71232876712329</v>
      </c>
      <c r="M34" s="13" t="n">
        <v>0.0078812012609922</v>
      </c>
      <c r="N34" s="11" t="n">
        <v>4.2</v>
      </c>
      <c r="O34" s="11"/>
      <c r="P34" s="11" t="s">
        <v>173</v>
      </c>
      <c r="Q34" s="14" t="n">
        <v>0.217832695313692</v>
      </c>
      <c r="R34" s="15" t="n">
        <v>4.44371890842597</v>
      </c>
      <c r="S34" s="14" t="n">
        <v>36.94</v>
      </c>
      <c r="T34" s="15" t="n">
        <v>18.6964285714286</v>
      </c>
      <c r="U34" s="11" t="s">
        <v>173</v>
      </c>
      <c r="V34" s="11" t="s">
        <v>229</v>
      </c>
      <c r="W34" s="11" t="s">
        <v>185</v>
      </c>
      <c r="X34" s="11" t="s">
        <v>173</v>
      </c>
      <c r="Y34" s="11" t="s">
        <v>173</v>
      </c>
      <c r="Z34" s="15" t="n">
        <v>2</v>
      </c>
      <c r="AA34" s="11" t="n">
        <v>4660</v>
      </c>
      <c r="AB34" s="11" t="s">
        <v>173</v>
      </c>
      <c r="AC34" s="15" t="n">
        <v>2.87750385208012</v>
      </c>
      <c r="AD34" s="15" t="n">
        <v>1.0234276509315</v>
      </c>
      <c r="AE34" s="15" t="n">
        <v>3.07268987625147</v>
      </c>
      <c r="AF34" s="16" t="s">
        <v>173</v>
      </c>
      <c r="AG34" s="16" t="s">
        <v>173</v>
      </c>
      <c r="AH34" s="16" t="s">
        <v>173</v>
      </c>
      <c r="AI34" s="16" t="s">
        <v>173</v>
      </c>
      <c r="AJ34" s="16" t="s">
        <v>173</v>
      </c>
      <c r="AK34" s="16" t="s">
        <v>173</v>
      </c>
      <c r="AL34" s="16" t="s">
        <v>173</v>
      </c>
      <c r="AM34" s="16" t="s">
        <v>173</v>
      </c>
      <c r="AN34" s="17" t="n">
        <v>0.0605939163552491</v>
      </c>
      <c r="AO34" s="18" t="n">
        <v>0.000636455117689026</v>
      </c>
      <c r="AP34" s="16" t="n">
        <v>0.0694947941698962</v>
      </c>
      <c r="AQ34" s="17" t="n">
        <v>10.4361748034376</v>
      </c>
      <c r="AR34" s="16" t="n">
        <v>7.10661215590079</v>
      </c>
      <c r="AS34" s="19" t="n">
        <v>0.0520116134384073</v>
      </c>
      <c r="AT34" s="19" t="n">
        <v>0.0253836582330983</v>
      </c>
      <c r="AU34" s="19" t="n">
        <v>0.38722521775197</v>
      </c>
      <c r="AV34" s="19" t="n">
        <v>0</v>
      </c>
      <c r="AW34" s="19" t="n">
        <v>0.0542513479883866</v>
      </c>
      <c r="AX34" s="19" t="n">
        <v>0.37901285773538</v>
      </c>
      <c r="AY34" s="19" t="n">
        <v>0.113343298102651</v>
      </c>
      <c r="AZ34" s="19" t="n">
        <v>0.240423060970552</v>
      </c>
      <c r="BA34" s="19" t="n">
        <v>8.43633347158855</v>
      </c>
      <c r="BB34" s="19" t="n">
        <v>2.51461190720635</v>
      </c>
      <c r="BC34" s="19" t="n">
        <v>0.866528411447532</v>
      </c>
      <c r="BD34" s="19" t="n">
        <v>0.509415180423061</v>
      </c>
      <c r="BE34" s="19" t="n">
        <v>0.369307341352136</v>
      </c>
      <c r="BF34" s="20" t="n">
        <v>0.897884695147242</v>
      </c>
      <c r="BG34" s="20" t="n">
        <v>13.0499626710908</v>
      </c>
      <c r="BH34" s="20" t="n">
        <v>0.510659477395272</v>
      </c>
      <c r="BI34" s="20" t="n">
        <v>13.4371878888428</v>
      </c>
      <c r="BJ34" s="20" t="n">
        <v>0.97879177377892</v>
      </c>
      <c r="BK34" s="20" t="n">
        <v>13.9478473662381</v>
      </c>
    </row>
    <row r="35" customFormat="false" ht="12.8" hidden="false" customHeight="false" outlineLevel="0" collapsed="false">
      <c r="A35" s="11" t="s">
        <v>230</v>
      </c>
      <c r="B35" s="12" t="n">
        <v>43123</v>
      </c>
      <c r="C35" s="2" t="n">
        <v>1</v>
      </c>
      <c r="D35" s="11" t="s">
        <v>227</v>
      </c>
      <c r="E35" s="11" t="s">
        <v>175</v>
      </c>
      <c r="F35" s="11" t="n">
        <v>35.6</v>
      </c>
      <c r="G35" s="11" t="n">
        <v>352.4</v>
      </c>
      <c r="H35" s="11" t="n">
        <v>6.8</v>
      </c>
      <c r="I35" s="11" t="n">
        <v>1.92962542565267</v>
      </c>
      <c r="J35" s="13" t="n">
        <v>338.5</v>
      </c>
      <c r="K35" s="13" t="n">
        <v>0.750254621125184</v>
      </c>
      <c r="L35" s="13"/>
      <c r="M35" s="13" t="n">
        <v>0.0200886262924668</v>
      </c>
      <c r="N35" s="11" t="n">
        <v>13.9</v>
      </c>
      <c r="O35" s="11"/>
      <c r="P35" s="11" t="n">
        <v>137.092992414767</v>
      </c>
      <c r="Q35" s="14" t="n">
        <v>0.169569088869491</v>
      </c>
      <c r="R35" s="15" t="n">
        <v>0.488297307299699</v>
      </c>
      <c r="S35" s="14" t="n">
        <v>24.61</v>
      </c>
      <c r="T35" s="11" t="s">
        <v>173</v>
      </c>
      <c r="U35" s="11" t="s">
        <v>173</v>
      </c>
      <c r="V35" s="11" t="s">
        <v>229</v>
      </c>
      <c r="W35" s="11" t="s">
        <v>185</v>
      </c>
      <c r="X35" s="11" t="s">
        <v>173</v>
      </c>
      <c r="Y35" s="11" t="s">
        <v>173</v>
      </c>
      <c r="Z35" s="15" t="n">
        <v>2</v>
      </c>
      <c r="AA35" s="11" t="s">
        <v>173</v>
      </c>
      <c r="AB35" s="11" t="n">
        <v>1272</v>
      </c>
      <c r="AC35" s="15" t="n">
        <v>3.01957831325301</v>
      </c>
      <c r="AD35" s="15" t="n">
        <v>1.7207258787215</v>
      </c>
      <c r="AE35" s="15" t="n">
        <v>7.50217316216988</v>
      </c>
      <c r="AF35" s="16" t="n">
        <v>2</v>
      </c>
      <c r="AG35" s="16" t="n">
        <v>143</v>
      </c>
      <c r="AH35" s="16" t="n">
        <v>61</v>
      </c>
      <c r="AI35" s="16" t="n">
        <v>48</v>
      </c>
      <c r="AJ35" s="16" t="n">
        <v>31</v>
      </c>
      <c r="AK35" s="16" t="n">
        <v>3</v>
      </c>
      <c r="AL35" s="16" t="n">
        <v>0</v>
      </c>
      <c r="AM35" s="17" t="n">
        <v>1.83216783216783</v>
      </c>
      <c r="AN35" s="17" t="n">
        <v>0.0873444694912803</v>
      </c>
      <c r="AO35" s="18" t="n">
        <v>0.000862353333707561</v>
      </c>
      <c r="AP35" s="16" t="n">
        <v>0.0693763888212829</v>
      </c>
      <c r="AQ35" s="17" t="n">
        <v>11.5961748034376</v>
      </c>
      <c r="AR35" s="16" t="n">
        <v>5.54661215590079</v>
      </c>
      <c r="AS35" s="19" t="n">
        <v>0.0405307599517491</v>
      </c>
      <c r="AT35" s="19" t="n">
        <v>0.0849215922798552</v>
      </c>
      <c r="AU35" s="19" t="n">
        <v>0.576357056694813</v>
      </c>
      <c r="AV35" s="19" t="n">
        <v>0.0323281061519903</v>
      </c>
      <c r="AW35" s="19" t="n">
        <v>0.0940892641737032</v>
      </c>
      <c r="AX35" s="19" t="n">
        <v>1.16984318455971</v>
      </c>
      <c r="AY35" s="19" t="n">
        <v>0.0699444243896905</v>
      </c>
      <c r="AZ35" s="19" t="n">
        <v>0.160603136308806</v>
      </c>
      <c r="BA35" s="19" t="n">
        <v>4.96743063932449</v>
      </c>
      <c r="BB35" s="19" t="n">
        <v>1.6434452016658</v>
      </c>
      <c r="BC35" s="19" t="n">
        <v>0.551990349819059</v>
      </c>
      <c r="BD35" s="19" t="n">
        <v>0.300603136308806</v>
      </c>
      <c r="BE35" s="19" t="n">
        <v>0.374909529553679</v>
      </c>
      <c r="BF35" s="20" t="n">
        <v>1.99806996381182</v>
      </c>
      <c r="BG35" s="20" t="n">
        <v>8.06892641737032</v>
      </c>
      <c r="BH35" s="20" t="n">
        <v>1.42171290711701</v>
      </c>
      <c r="BI35" s="20" t="n">
        <v>8.64528347406514</v>
      </c>
      <c r="BJ35" s="20" t="n">
        <v>2.029719547928</v>
      </c>
      <c r="BK35" s="20" t="n">
        <v>10.0669963811821</v>
      </c>
    </row>
    <row r="36" customFormat="false" ht="12.8" hidden="false" customHeight="false" outlineLevel="0" collapsed="false">
      <c r="A36" s="11" t="s">
        <v>231</v>
      </c>
      <c r="B36" s="12" t="n">
        <v>43123</v>
      </c>
      <c r="C36" s="2" t="n">
        <v>1</v>
      </c>
      <c r="D36" s="11" t="s">
        <v>227</v>
      </c>
      <c r="E36" s="11" t="s">
        <v>175</v>
      </c>
      <c r="F36" s="11" t="n">
        <v>37.2</v>
      </c>
      <c r="G36" s="11" t="n">
        <v>428.99</v>
      </c>
      <c r="H36" s="11" t="n">
        <v>8.5</v>
      </c>
      <c r="I36" s="11" t="n">
        <v>1.98139816778946</v>
      </c>
      <c r="J36" s="13" t="n">
        <v>398.59</v>
      </c>
      <c r="K36" s="13" t="n">
        <v>0.77427917578886</v>
      </c>
      <c r="L36" s="13" t="n">
        <v>7.0864122706823</v>
      </c>
      <c r="M36" s="13" t="n">
        <v>0.0213251712285807</v>
      </c>
      <c r="N36" s="11" t="n">
        <v>30.4</v>
      </c>
      <c r="O36" s="11" t="s">
        <v>232</v>
      </c>
      <c r="P36" s="11" t="s">
        <v>173</v>
      </c>
      <c r="Q36" s="14" t="n">
        <v>0.157170271156927</v>
      </c>
      <c r="R36" s="15" t="n">
        <v>0.745769079909119</v>
      </c>
      <c r="S36" s="14" t="n">
        <v>32.08</v>
      </c>
      <c r="T36" s="11" t="s">
        <v>173</v>
      </c>
      <c r="U36" s="11" t="s">
        <v>173</v>
      </c>
      <c r="V36" s="11" t="s">
        <v>173</v>
      </c>
      <c r="W36" s="11" t="s">
        <v>185</v>
      </c>
      <c r="X36" s="11" t="s">
        <v>173</v>
      </c>
      <c r="Y36" s="11" t="s">
        <v>173</v>
      </c>
      <c r="Z36" s="15" t="n">
        <v>1</v>
      </c>
      <c r="AA36" s="11" t="s">
        <v>173</v>
      </c>
      <c r="AB36" s="11" t="n">
        <v>2027</v>
      </c>
      <c r="AC36" s="15" t="n">
        <v>5.06734006734007</v>
      </c>
      <c r="AD36" s="15" t="n">
        <v>1.63822569125599</v>
      </c>
      <c r="AE36" s="21" t="n">
        <v>7.59089135430895</v>
      </c>
      <c r="AF36" s="16" t="s">
        <v>173</v>
      </c>
      <c r="AG36" s="16" t="s">
        <v>173</v>
      </c>
      <c r="AH36" s="16" t="s">
        <v>173</v>
      </c>
      <c r="AI36" s="16" t="s">
        <v>173</v>
      </c>
      <c r="AJ36" s="16" t="s">
        <v>173</v>
      </c>
      <c r="AK36" s="16" t="s">
        <v>173</v>
      </c>
      <c r="AL36" s="16" t="s">
        <v>173</v>
      </c>
      <c r="AM36" s="16" t="s">
        <v>173</v>
      </c>
      <c r="AN36" s="17" t="n">
        <v>0.095140592757407</v>
      </c>
      <c r="AO36" s="18" t="n">
        <v>0.00151667315836937</v>
      </c>
      <c r="AP36" s="16" t="n">
        <v>0.0752010166478785</v>
      </c>
      <c r="AQ36" s="17" t="n">
        <v>11.7161748034376</v>
      </c>
      <c r="AR36" s="16" t="n">
        <v>8.50661215590079</v>
      </c>
      <c r="AS36" s="19" t="n">
        <v>0.0175427603725656</v>
      </c>
      <c r="AT36" s="19" t="n">
        <v>0.161303979678239</v>
      </c>
      <c r="AU36" s="19" t="n">
        <v>0.498391193903472</v>
      </c>
      <c r="AV36" s="19" t="n">
        <v>0</v>
      </c>
      <c r="AW36" s="19" t="n">
        <v>0.0650296359017782</v>
      </c>
      <c r="AX36" s="19" t="n">
        <v>1.47027942421677</v>
      </c>
      <c r="AY36" s="19" t="n">
        <v>0.0195596951735817</v>
      </c>
      <c r="AZ36" s="19" t="n">
        <v>0.158763759525826</v>
      </c>
      <c r="BA36" s="19" t="n">
        <v>3.5766299745978</v>
      </c>
      <c r="BB36" s="19" t="n">
        <v>1.28941574936495</v>
      </c>
      <c r="BC36" s="19" t="n">
        <v>0.751651143099068</v>
      </c>
      <c r="BD36" s="19" t="n">
        <v>0.23268416596105</v>
      </c>
      <c r="BE36" s="19" t="n">
        <v>0.410753598645216</v>
      </c>
      <c r="BF36" s="20" t="n">
        <v>2.21254699407282</v>
      </c>
      <c r="BG36" s="20" t="n">
        <v>6.43945808636749</v>
      </c>
      <c r="BH36" s="20" t="n">
        <v>1.71415580016935</v>
      </c>
      <c r="BI36" s="20" t="n">
        <v>6.93784928027096</v>
      </c>
      <c r="BJ36" s="20" t="n">
        <v>2.95005096839959</v>
      </c>
      <c r="BK36" s="20" t="n">
        <v>8.65200508044031</v>
      </c>
      <c r="EV36" s="1" t="n">
        <v>0.211274648275863</v>
      </c>
      <c r="EW36" s="1" t="n">
        <v>3.43161246896553</v>
      </c>
      <c r="EX36" s="1" t="n">
        <v>1.14920604137931</v>
      </c>
      <c r="EY36" s="1" t="n">
        <v>3.06028126896553</v>
      </c>
      <c r="EZ36" s="1" t="s">
        <v>225</v>
      </c>
      <c r="FA36" s="1" t="n">
        <v>38.0070287724139</v>
      </c>
      <c r="FB36" s="1" t="n">
        <v>346.784927227587</v>
      </c>
      <c r="FC36" s="1" t="n">
        <v>2.51929012413794</v>
      </c>
      <c r="FD36" s="1" t="n">
        <v>5.59877817931036</v>
      </c>
      <c r="FE36" s="1" t="n">
        <v>0.284900662068966</v>
      </c>
      <c r="FF36" s="1" t="n">
        <v>0.544192275862071</v>
      </c>
      <c r="FG36" s="1" t="n">
        <v>0.15045315862069</v>
      </c>
      <c r="FH36" s="1" t="n">
        <v>5.37149787586209</v>
      </c>
      <c r="FI36" s="1" t="n">
        <v>0.11524071724138</v>
      </c>
      <c r="FJ36" s="1" t="n">
        <v>84.4810491310347</v>
      </c>
      <c r="FK36" s="1" t="n">
        <v>138.833052965518</v>
      </c>
      <c r="FL36" s="1" t="n">
        <v>1.03340832733793</v>
      </c>
    </row>
    <row r="37" customFormat="false" ht="12.8" hidden="false" customHeight="false" outlineLevel="0" collapsed="false">
      <c r="A37" s="11" t="s">
        <v>233</v>
      </c>
      <c r="B37" s="12" t="n">
        <v>43123</v>
      </c>
      <c r="C37" s="2" t="n">
        <v>1</v>
      </c>
      <c r="D37" s="11" t="s">
        <v>227</v>
      </c>
      <c r="E37" s="11" t="s">
        <v>170</v>
      </c>
      <c r="F37" s="11" t="n">
        <v>31.4</v>
      </c>
      <c r="G37" s="11" t="n">
        <v>249.52</v>
      </c>
      <c r="H37" s="11" t="n">
        <v>3.1</v>
      </c>
      <c r="I37" s="11" t="n">
        <v>1.24238537992946</v>
      </c>
      <c r="J37" s="13" t="n">
        <v>244.42</v>
      </c>
      <c r="K37" s="13" t="n">
        <v>0.789492112572622</v>
      </c>
      <c r="L37" s="13" t="n">
        <v>2.04392433472267</v>
      </c>
      <c r="M37" s="13" t="n">
        <v>0.0126830864904672</v>
      </c>
      <c r="N37" s="11" t="n">
        <v>5.1</v>
      </c>
      <c r="O37" s="11" t="s">
        <v>234</v>
      </c>
      <c r="P37" s="11" t="n">
        <v>116.968061854044</v>
      </c>
      <c r="Q37" s="14" t="n">
        <v>0.169053401460806</v>
      </c>
      <c r="R37" s="15" t="n">
        <v>6.09396679773104</v>
      </c>
      <c r="S37" s="14" t="n">
        <v>23.39</v>
      </c>
      <c r="T37" s="15" t="n">
        <v>21.5535714285714</v>
      </c>
      <c r="U37" s="11" t="s">
        <v>173</v>
      </c>
      <c r="V37" s="11" t="s">
        <v>229</v>
      </c>
      <c r="W37" s="11" t="s">
        <v>185</v>
      </c>
      <c r="X37" s="11" t="s">
        <v>173</v>
      </c>
      <c r="Y37" s="11" t="s">
        <v>173</v>
      </c>
      <c r="Z37" s="15" t="n">
        <v>2</v>
      </c>
      <c r="AA37" s="11" t="n">
        <v>998</v>
      </c>
      <c r="AB37" s="11" t="s">
        <v>173</v>
      </c>
      <c r="AC37" s="15" t="n">
        <v>4.05420353982301</v>
      </c>
      <c r="AD37" s="15" t="n">
        <v>1.3458448117539</v>
      </c>
      <c r="AE37" s="15" t="n">
        <v>3.26181434001906</v>
      </c>
      <c r="AF37" s="16" t="s">
        <v>173</v>
      </c>
      <c r="AG37" s="16" t="s">
        <v>173</v>
      </c>
      <c r="AH37" s="16" t="s">
        <v>173</v>
      </c>
      <c r="AI37" s="16" t="s">
        <v>173</v>
      </c>
      <c r="AJ37" s="16" t="s">
        <v>173</v>
      </c>
      <c r="AK37" s="16" t="s">
        <v>173</v>
      </c>
      <c r="AL37" s="16" t="s">
        <v>173</v>
      </c>
      <c r="AM37" s="16" t="s">
        <v>173</v>
      </c>
      <c r="AN37" s="17" t="n">
        <v>0.0399632295727782</v>
      </c>
      <c r="AO37" s="18" t="n">
        <v>0.00104314349674655</v>
      </c>
      <c r="AP37" s="16" t="n">
        <v>0.075071265760417</v>
      </c>
      <c r="AQ37" s="17" t="n">
        <v>10.9961748034376</v>
      </c>
      <c r="AR37" s="16" t="n">
        <v>8.58661215590079</v>
      </c>
      <c r="AS37" s="19" t="n">
        <v>0</v>
      </c>
      <c r="AT37" s="19" t="n">
        <v>0.0452568255437298</v>
      </c>
      <c r="AU37" s="19" t="n">
        <v>0.538361869504859</v>
      </c>
      <c r="AV37" s="19" t="n">
        <v>0</v>
      </c>
      <c r="AW37" s="19" t="n">
        <v>0.0288755205923184</v>
      </c>
      <c r="AX37" s="19" t="n">
        <v>0.367885238315595</v>
      </c>
      <c r="AY37" s="19" t="n">
        <v>0.0702606487501142</v>
      </c>
      <c r="AZ37" s="19" t="n">
        <v>0.232031466913466</v>
      </c>
      <c r="BA37" s="19" t="n">
        <v>3.9898195279963</v>
      </c>
      <c r="BB37" s="19" t="n">
        <v>1.47513500141185</v>
      </c>
      <c r="BC37" s="19" t="n">
        <v>0.748542341508561</v>
      </c>
      <c r="BD37" s="19" t="n">
        <v>0.130800555298473</v>
      </c>
      <c r="BE37" s="19" t="n">
        <v>0.201573345673299</v>
      </c>
      <c r="BF37" s="20" t="n">
        <v>0.980379453956502</v>
      </c>
      <c r="BG37" s="20" t="n">
        <v>6.84816288755206</v>
      </c>
      <c r="BH37" s="20" t="n">
        <v>0.442017584451643</v>
      </c>
      <c r="BI37" s="20" t="n">
        <v>7.38652475705692</v>
      </c>
      <c r="BJ37" s="20" t="n">
        <v>0.683341928829293</v>
      </c>
      <c r="BK37" s="20" t="n">
        <v>7.82854234150856</v>
      </c>
    </row>
    <row r="38" customFormat="false" ht="12.8" hidden="false" customHeight="false" outlineLevel="0" collapsed="false">
      <c r="A38" s="11" t="s">
        <v>235</v>
      </c>
      <c r="B38" s="12" t="n">
        <v>43123</v>
      </c>
      <c r="C38" s="2" t="n">
        <v>1</v>
      </c>
      <c r="D38" s="11" t="s">
        <v>227</v>
      </c>
      <c r="E38" s="11" t="s">
        <v>170</v>
      </c>
      <c r="F38" s="11" t="n">
        <v>33.6</v>
      </c>
      <c r="G38" s="11" t="n">
        <v>302.81</v>
      </c>
      <c r="H38" s="11" t="n">
        <v>3.7</v>
      </c>
      <c r="I38" s="11" t="n">
        <v>1.22188831280341</v>
      </c>
      <c r="J38" s="13" t="n">
        <v>301.31</v>
      </c>
      <c r="K38" s="13" t="n">
        <v>0.794320394328366</v>
      </c>
      <c r="L38" s="13" t="n">
        <v>0.495360126812192</v>
      </c>
      <c r="M38" s="13" t="n">
        <v>0.0122797119245959</v>
      </c>
      <c r="N38" s="11" t="n">
        <v>1.5</v>
      </c>
      <c r="O38" s="11" t="s">
        <v>236</v>
      </c>
      <c r="P38" s="11" t="n">
        <v>69.2852082291839</v>
      </c>
      <c r="Q38" s="14" t="n">
        <v>0.199453789958807</v>
      </c>
      <c r="R38" s="15" t="n">
        <v>17.2715848451482</v>
      </c>
      <c r="S38" s="14" t="n">
        <v>32.18</v>
      </c>
      <c r="T38" s="15" t="n">
        <v>19.3214285714286</v>
      </c>
      <c r="U38" s="11" t="s">
        <v>229</v>
      </c>
      <c r="V38" s="11" t="s">
        <v>237</v>
      </c>
      <c r="W38" s="11" t="s">
        <v>185</v>
      </c>
      <c r="X38" s="11" t="s">
        <v>173</v>
      </c>
      <c r="Y38" s="11" t="s">
        <v>173</v>
      </c>
      <c r="Z38" s="15" t="n">
        <v>3</v>
      </c>
      <c r="AA38" s="11" t="n">
        <v>289</v>
      </c>
      <c r="AB38" s="11" t="s">
        <v>173</v>
      </c>
      <c r="AC38" s="15" t="n">
        <v>2.32880755608028</v>
      </c>
      <c r="AD38" s="15" t="n">
        <v>1.53080390683696</v>
      </c>
      <c r="AE38" s="21" t="n">
        <v>0.279559361903782</v>
      </c>
      <c r="AF38" s="16" t="s">
        <v>173</v>
      </c>
      <c r="AG38" s="16" t="s">
        <v>173</v>
      </c>
      <c r="AH38" s="16" t="s">
        <v>173</v>
      </c>
      <c r="AI38" s="16" t="s">
        <v>173</v>
      </c>
      <c r="AJ38" s="16" t="s">
        <v>173</v>
      </c>
      <c r="AK38" s="16" t="s">
        <v>173</v>
      </c>
      <c r="AL38" s="16" t="s">
        <v>173</v>
      </c>
      <c r="AM38" s="16" t="s">
        <v>173</v>
      </c>
      <c r="AN38" s="17" t="n">
        <v>0.0648606474819865</v>
      </c>
      <c r="AO38" s="18" t="n">
        <v>0.00147332232532734</v>
      </c>
      <c r="AP38" s="16" t="n">
        <v>0.0296033789063842</v>
      </c>
      <c r="AQ38" s="17" t="n">
        <v>7.43617480343756</v>
      </c>
      <c r="AR38" s="16" t="n">
        <v>2.56661215590079</v>
      </c>
      <c r="AS38" s="19" t="n">
        <v>0.0388865808059826</v>
      </c>
      <c r="AT38" s="19" t="n">
        <v>0.0847528043207312</v>
      </c>
      <c r="AU38" s="19" t="n">
        <v>0.57233070211882</v>
      </c>
      <c r="AV38" s="19" t="n">
        <v>0</v>
      </c>
      <c r="AW38" s="19" t="n">
        <v>0.102201911092646</v>
      </c>
      <c r="AX38" s="19" t="n">
        <v>0.435978396343997</v>
      </c>
      <c r="AY38" s="19" t="n">
        <v>0.137598670544246</v>
      </c>
      <c r="AZ38" s="19" t="n">
        <v>0.508267552970503</v>
      </c>
      <c r="BA38" s="19" t="n">
        <v>4.65143331948484</v>
      </c>
      <c r="BB38" s="19" t="n">
        <v>1.73942667220607</v>
      </c>
      <c r="BC38" s="19" t="n">
        <v>0.636393851267138</v>
      </c>
      <c r="BD38" s="19" t="n">
        <v>0.248275862068965</v>
      </c>
      <c r="BE38" s="19" t="n">
        <v>0.606481096800997</v>
      </c>
      <c r="BF38" s="20" t="n">
        <v>1.23415039468218</v>
      </c>
      <c r="BG38" s="20" t="n">
        <v>8.52787702534275</v>
      </c>
      <c r="BH38" s="20" t="n">
        <v>0.661819692563357</v>
      </c>
      <c r="BI38" s="20" t="n">
        <v>9.10020772746157</v>
      </c>
      <c r="BJ38" s="20" t="n">
        <v>0.761759581881533</v>
      </c>
      <c r="BK38" s="20" t="n">
        <v>9.76202742002493</v>
      </c>
      <c r="EV38" s="1" t="n">
        <v>0.763162839410396</v>
      </c>
      <c r="EW38" s="1" t="n">
        <v>0.699917300232739</v>
      </c>
      <c r="EX38" s="1" t="n">
        <v>0.445881051202483</v>
      </c>
      <c r="EY38" s="1" t="n">
        <v>0.146518832428239</v>
      </c>
      <c r="EZ38" s="1" t="n">
        <v>0.191844802172227</v>
      </c>
      <c r="FA38" s="1" t="n">
        <v>62.9293114817688</v>
      </c>
      <c r="FB38" s="1" t="n">
        <v>516.122601105508</v>
      </c>
      <c r="FC38" s="1" t="n">
        <v>0.571318037238169</v>
      </c>
      <c r="FD38" s="1" t="n">
        <v>2.29475897982933</v>
      </c>
      <c r="FE38" s="1" t="n">
        <v>0.295145849495733</v>
      </c>
      <c r="FF38" s="1" t="n">
        <v>0.0706241854150504</v>
      </c>
      <c r="FG38" s="1" t="s">
        <v>225</v>
      </c>
      <c r="FH38" s="1" t="n">
        <v>1.33553496896819</v>
      </c>
      <c r="FI38" s="1" t="s">
        <v>225</v>
      </c>
      <c r="FJ38" s="1" t="n">
        <v>0.209764371605896</v>
      </c>
      <c r="FK38" s="1" t="n">
        <v>132.295964759504</v>
      </c>
      <c r="FL38" s="1" t="n">
        <v>0.550545039895268</v>
      </c>
    </row>
    <row r="39" customFormat="false" ht="12.8" hidden="false" customHeight="false" outlineLevel="0" collapsed="false">
      <c r="A39" s="11" t="s">
        <v>238</v>
      </c>
      <c r="B39" s="12" t="n">
        <v>43123</v>
      </c>
      <c r="C39" s="2" t="n">
        <v>1</v>
      </c>
      <c r="D39" s="11" t="s">
        <v>227</v>
      </c>
      <c r="E39" s="11" t="s">
        <v>175</v>
      </c>
      <c r="F39" s="11" t="n">
        <v>36.7</v>
      </c>
      <c r="G39" s="11" t="n">
        <v>454.35</v>
      </c>
      <c r="H39" s="11" t="n">
        <v>7.2</v>
      </c>
      <c r="I39" s="11" t="n">
        <v>1.58468141300759</v>
      </c>
      <c r="J39" s="13" t="n">
        <v>405.15</v>
      </c>
      <c r="K39" s="13" t="n">
        <v>0.819629630985807</v>
      </c>
      <c r="L39" s="13" t="n">
        <v>13.9614074914869</v>
      </c>
      <c r="M39" s="13" t="n">
        <v>0.0177711958533876</v>
      </c>
      <c r="N39" s="11" t="n">
        <v>49.2</v>
      </c>
      <c r="O39" s="11"/>
      <c r="P39" s="11" t="n">
        <v>136.61555690219</v>
      </c>
      <c r="Q39" s="14" t="n">
        <v>0.152640983581866</v>
      </c>
      <c r="R39" s="15" t="n">
        <v>3.2338541671272</v>
      </c>
      <c r="S39" s="14" t="n">
        <v>36.58</v>
      </c>
      <c r="T39" s="11" t="s">
        <v>173</v>
      </c>
      <c r="U39" s="11" t="s">
        <v>173</v>
      </c>
      <c r="V39" s="11" t="s">
        <v>173</v>
      </c>
      <c r="W39" s="11" t="s">
        <v>173</v>
      </c>
      <c r="X39" s="11" t="s">
        <v>173</v>
      </c>
      <c r="Y39" s="11" t="s">
        <v>173</v>
      </c>
      <c r="Z39" s="15" t="n">
        <v>0</v>
      </c>
      <c r="AA39" s="11" t="s">
        <v>173</v>
      </c>
      <c r="AB39" s="11" t="n">
        <v>6354</v>
      </c>
      <c r="AC39" s="15" t="n">
        <v>3.31781914893617</v>
      </c>
      <c r="AD39" s="11" t="s">
        <v>173</v>
      </c>
      <c r="AE39" s="15" t="n">
        <v>0.619674067553732</v>
      </c>
      <c r="AF39" s="16" t="n">
        <v>2</v>
      </c>
      <c r="AG39" s="16" t="n">
        <v>112</v>
      </c>
      <c r="AH39" s="16" t="n">
        <v>25</v>
      </c>
      <c r="AI39" s="16" t="n">
        <v>21</v>
      </c>
      <c r="AJ39" s="16" t="n">
        <v>66</v>
      </c>
      <c r="AK39" s="16" t="n">
        <v>0</v>
      </c>
      <c r="AL39" s="16" t="n">
        <v>0</v>
      </c>
      <c r="AM39" s="17" t="n">
        <v>2.36607142857143</v>
      </c>
      <c r="AN39" s="17" t="n">
        <v>0.116721868754008</v>
      </c>
      <c r="AO39" s="18" t="n">
        <v>0.000774348118307943</v>
      </c>
      <c r="AP39" s="16" t="n">
        <v>0.0501480172629787</v>
      </c>
      <c r="AQ39" s="17" t="n">
        <v>8.35617480343756</v>
      </c>
      <c r="AR39" s="16" t="n">
        <v>7.96661215590079</v>
      </c>
      <c r="AS39" s="19" t="n">
        <v>0.0233730522456462</v>
      </c>
      <c r="AT39" s="19" t="n">
        <v>0.0255728689275894</v>
      </c>
      <c r="AU39" s="19" t="n">
        <v>0.579376718606783</v>
      </c>
      <c r="AV39" s="19" t="n">
        <v>0.0175985334555454</v>
      </c>
      <c r="AW39" s="19" t="n">
        <v>0.0833180568285976</v>
      </c>
      <c r="AX39" s="19" t="n">
        <v>0.260678276810266</v>
      </c>
      <c r="AY39" s="19" t="n">
        <v>0.0809831148014743</v>
      </c>
      <c r="AZ39" s="19" t="n">
        <v>0.251741521539872</v>
      </c>
      <c r="BA39" s="19" t="n">
        <v>2.45059578368469</v>
      </c>
      <c r="BB39" s="19" t="n">
        <v>1.24110671104637</v>
      </c>
      <c r="BC39" s="19" t="n">
        <v>0.305774518790101</v>
      </c>
      <c r="BD39" s="19" t="n">
        <v>0.375343721356554</v>
      </c>
      <c r="BE39" s="19" t="n">
        <v>0.516406966086159</v>
      </c>
      <c r="BF39" s="20" t="n">
        <v>0.989917506874427</v>
      </c>
      <c r="BG39" s="20" t="n">
        <v>5.22195233730523</v>
      </c>
      <c r="BH39" s="20" t="n">
        <v>0.410540788267644</v>
      </c>
      <c r="BI39" s="20" t="n">
        <v>5.80132905591201</v>
      </c>
      <c r="BJ39" s="20" t="n">
        <v>0.449928808732795</v>
      </c>
      <c r="BK39" s="20" t="n">
        <v>6.21186984417965</v>
      </c>
    </row>
    <row r="40" customFormat="false" ht="12.8" hidden="false" customHeight="false" outlineLevel="0" collapsed="false">
      <c r="A40" s="11" t="s">
        <v>239</v>
      </c>
      <c r="B40" s="12" t="n">
        <v>43123</v>
      </c>
      <c r="C40" s="2" t="n">
        <v>1</v>
      </c>
      <c r="D40" s="11" t="s">
        <v>227</v>
      </c>
      <c r="E40" s="11" t="s">
        <v>170</v>
      </c>
      <c r="F40" s="11" t="n">
        <v>34.7</v>
      </c>
      <c r="G40" s="11" t="n">
        <v>345.37</v>
      </c>
      <c r="H40" s="11" t="n">
        <v>3.5</v>
      </c>
      <c r="I40" s="11" t="n">
        <v>1.01340591249964</v>
      </c>
      <c r="J40" s="13" t="n">
        <v>343.27</v>
      </c>
      <c r="K40" s="13" t="n">
        <v>0.821575397570858</v>
      </c>
      <c r="L40" s="13" t="n">
        <v>0.608043547499783</v>
      </c>
      <c r="M40" s="13" t="n">
        <v>0.0101960555830687</v>
      </c>
      <c r="N40" s="11" t="n">
        <v>2.1</v>
      </c>
      <c r="O40" s="11" t="s">
        <v>222</v>
      </c>
      <c r="P40" s="11" t="n">
        <v>115.100570158277</v>
      </c>
      <c r="Q40" s="14" t="n">
        <v>0.119203184219055</v>
      </c>
      <c r="R40" s="15" t="n">
        <v>8.539482469906</v>
      </c>
      <c r="S40" s="14" t="n">
        <v>25.86</v>
      </c>
      <c r="T40" s="15" t="n">
        <v>23.3392857142857</v>
      </c>
      <c r="U40" s="11" t="s">
        <v>173</v>
      </c>
      <c r="V40" s="11" t="s">
        <v>173</v>
      </c>
      <c r="W40" s="11" t="s">
        <v>185</v>
      </c>
      <c r="X40" s="11" t="s">
        <v>173</v>
      </c>
      <c r="Y40" s="11" t="s">
        <v>173</v>
      </c>
      <c r="Z40" s="15" t="n">
        <v>1</v>
      </c>
      <c r="AA40" s="11" t="n">
        <v>2602</v>
      </c>
      <c r="AB40" s="11" t="s">
        <v>173</v>
      </c>
      <c r="AC40" s="15" t="n">
        <v>3.6082059533387</v>
      </c>
      <c r="AD40" s="15" t="n">
        <v>1.11283287419651</v>
      </c>
      <c r="AE40" s="15" t="n">
        <v>3.20258480366754</v>
      </c>
      <c r="AF40" s="16" t="s">
        <v>173</v>
      </c>
      <c r="AG40" s="16" t="s">
        <v>173</v>
      </c>
      <c r="AH40" s="16" t="s">
        <v>173</v>
      </c>
      <c r="AI40" s="16" t="s">
        <v>173</v>
      </c>
      <c r="AJ40" s="16" t="s">
        <v>173</v>
      </c>
      <c r="AK40" s="16" t="s">
        <v>173</v>
      </c>
      <c r="AL40" s="16" t="s">
        <v>173</v>
      </c>
      <c r="AM40" s="16" t="s">
        <v>173</v>
      </c>
      <c r="AN40" s="17" t="n">
        <v>0.0373107975075366</v>
      </c>
      <c r="AO40" s="18" t="n">
        <v>0.00110917319355125</v>
      </c>
      <c r="AP40" s="16" t="n">
        <v>0.14605532877167</v>
      </c>
      <c r="AQ40" s="17" t="n">
        <v>7.75617480343756</v>
      </c>
      <c r="AR40" s="16" t="n">
        <v>6.58661215590079</v>
      </c>
      <c r="AS40" s="19" t="n">
        <v>0.0224934612031386</v>
      </c>
      <c r="AT40" s="19" t="n">
        <v>0.0149084568439407</v>
      </c>
      <c r="AU40" s="19" t="n">
        <v>0.380034873583261</v>
      </c>
      <c r="AV40" s="19" t="n">
        <v>0</v>
      </c>
      <c r="AW40" s="19" t="n">
        <v>0.072972972972973</v>
      </c>
      <c r="AX40" s="19" t="n">
        <v>1.00226678291194</v>
      </c>
      <c r="AY40" s="19" t="n">
        <v>0</v>
      </c>
      <c r="AZ40" s="19" t="n">
        <v>0.17411508282476</v>
      </c>
      <c r="BA40" s="19" t="n">
        <v>5.38535309503051</v>
      </c>
      <c r="BB40" s="19" t="n">
        <v>1.85754141238012</v>
      </c>
      <c r="BC40" s="19" t="n">
        <v>0.598430688753269</v>
      </c>
      <c r="BD40" s="19" t="n">
        <v>0.325893635571055</v>
      </c>
      <c r="BE40" s="19" t="n">
        <v>0.406451612903226</v>
      </c>
      <c r="BF40" s="20" t="n">
        <v>1.49267654751526</v>
      </c>
      <c r="BG40" s="20" t="n">
        <v>8.74778552746295</v>
      </c>
      <c r="BH40" s="20" t="n">
        <v>1.112641673932</v>
      </c>
      <c r="BI40" s="20" t="n">
        <v>9.12782040104621</v>
      </c>
      <c r="BJ40" s="20" t="n">
        <v>2.63730213351686</v>
      </c>
      <c r="BK40" s="20" t="n">
        <v>10.2404620749782</v>
      </c>
      <c r="BL40" s="7" t="s">
        <v>224</v>
      </c>
      <c r="BM40" s="7" t="s">
        <v>223</v>
      </c>
      <c r="BN40" s="7" t="s">
        <v>223</v>
      </c>
      <c r="BO40" s="7" t="s">
        <v>223</v>
      </c>
      <c r="BP40" s="7" t="s">
        <v>223</v>
      </c>
      <c r="BQ40" s="7" t="s">
        <v>223</v>
      </c>
      <c r="BR40" s="7" t="s">
        <v>223</v>
      </c>
      <c r="BS40" s="7" t="s">
        <v>223</v>
      </c>
      <c r="BT40" s="7" t="s">
        <v>224</v>
      </c>
      <c r="BU40" s="7" t="s">
        <v>224</v>
      </c>
      <c r="BV40" s="7" t="s">
        <v>223</v>
      </c>
      <c r="BW40" s="7" t="s">
        <v>224</v>
      </c>
      <c r="BX40" s="7" t="s">
        <v>223</v>
      </c>
      <c r="BY40" s="7" t="n">
        <v>2.66888181752749</v>
      </c>
      <c r="BZ40" s="7" t="s">
        <v>223</v>
      </c>
      <c r="CA40" s="7" t="s">
        <v>224</v>
      </c>
      <c r="CB40" s="7" t="s">
        <v>223</v>
      </c>
      <c r="CC40" s="7" t="s">
        <v>223</v>
      </c>
      <c r="CD40" s="7" t="s">
        <v>223</v>
      </c>
      <c r="CE40" s="7" t="n">
        <v>3.97003589647471</v>
      </c>
      <c r="CF40" s="7" t="s">
        <v>223</v>
      </c>
      <c r="CG40" s="7" t="s">
        <v>223</v>
      </c>
      <c r="CH40" s="7" t="s">
        <v>223</v>
      </c>
      <c r="CI40" s="7" t="s">
        <v>224</v>
      </c>
      <c r="CJ40" s="10" t="n">
        <f aca="false">SUM(BL40:CI40)</f>
        <v>6.6389177140022</v>
      </c>
      <c r="CK40" s="22" t="s">
        <v>223</v>
      </c>
      <c r="CL40" s="22" t="n">
        <v>1.89940202215093</v>
      </c>
      <c r="CM40" s="22" t="n">
        <v>6.93981204466652</v>
      </c>
      <c r="CN40" s="22" t="n">
        <v>8.21713545513023</v>
      </c>
      <c r="CO40" s="22" t="n">
        <v>11.5448095597537</v>
      </c>
      <c r="CP40" s="22" t="s">
        <v>223</v>
      </c>
      <c r="CQ40" s="22" t="n">
        <v>11.6579147618787</v>
      </c>
      <c r="CR40" s="22" t="n">
        <v>49.8202902908794</v>
      </c>
      <c r="CS40" s="22" t="n">
        <v>63.4885862394</v>
      </c>
      <c r="CT40" s="22" t="s">
        <v>224</v>
      </c>
      <c r="CU40" s="22" t="n">
        <v>101.27933038999</v>
      </c>
      <c r="CV40" s="22" t="n">
        <v>9.92902095796875</v>
      </c>
      <c r="CW40" s="22" t="n">
        <v>112.281575145566</v>
      </c>
      <c r="CX40" s="22" t="n">
        <v>56.4088809184211</v>
      </c>
      <c r="CY40" s="22" t="n">
        <v>7.36757081661276</v>
      </c>
      <c r="CZ40" s="22" t="n">
        <v>16.0588126641088</v>
      </c>
      <c r="DA40" s="22" t="n">
        <v>8.88981376250493</v>
      </c>
      <c r="DB40" s="22" t="n">
        <v>161.441518147347</v>
      </c>
      <c r="DC40" s="22" t="n">
        <v>72.5314747115477</v>
      </c>
      <c r="DD40" s="22" t="n">
        <v>183.396683585391</v>
      </c>
      <c r="DE40" s="22" t="n">
        <v>5.35761483749759</v>
      </c>
      <c r="DF40" s="22" t="s">
        <v>223</v>
      </c>
      <c r="DG40" s="22" t="n">
        <v>15.0417162600379</v>
      </c>
      <c r="DH40" s="22" t="n">
        <v>47.5990061709518</v>
      </c>
      <c r="DI40" s="22" t="n">
        <v>44.9997125597119</v>
      </c>
      <c r="DJ40" s="22" t="n">
        <v>7.03931060593433</v>
      </c>
      <c r="DK40" s="23" t="n">
        <f aca="false">SUM(CK40:DJ40)</f>
        <v>1003.18999190745</v>
      </c>
      <c r="DL40" s="22" t="s">
        <v>223</v>
      </c>
      <c r="DM40" s="22" t="n">
        <v>47.5853995300947</v>
      </c>
      <c r="DN40" s="22" t="s">
        <v>223</v>
      </c>
      <c r="DO40" s="22" t="s">
        <v>240</v>
      </c>
      <c r="DP40" s="22" t="s">
        <v>240</v>
      </c>
      <c r="DQ40" s="22" t="s">
        <v>240</v>
      </c>
      <c r="DR40" s="22" t="s">
        <v>240</v>
      </c>
      <c r="DS40" s="22" t="s">
        <v>240</v>
      </c>
      <c r="DT40" s="22" t="s">
        <v>240</v>
      </c>
      <c r="DU40" s="22" t="s">
        <v>223</v>
      </c>
      <c r="DV40" s="22" t="s">
        <v>223</v>
      </c>
      <c r="DW40" s="22" t="n">
        <v>3.45821281534666</v>
      </c>
      <c r="DX40" s="22" t="s">
        <v>240</v>
      </c>
      <c r="DY40" s="22" t="s">
        <v>240</v>
      </c>
      <c r="DZ40" s="22" t="s">
        <v>240</v>
      </c>
      <c r="EA40" s="22" t="s">
        <v>240</v>
      </c>
      <c r="EB40" s="22" t="s">
        <v>223</v>
      </c>
      <c r="EC40" s="22" t="s">
        <v>240</v>
      </c>
      <c r="ED40" s="22" t="s">
        <v>240</v>
      </c>
      <c r="EE40" s="22" t="s">
        <v>240</v>
      </c>
      <c r="EF40" s="22" t="s">
        <v>223</v>
      </c>
      <c r="EG40" s="22" t="s">
        <v>223</v>
      </c>
      <c r="EH40" s="22" t="s">
        <v>223</v>
      </c>
      <c r="EI40" s="22" t="s">
        <v>224</v>
      </c>
      <c r="EJ40" s="22" t="s">
        <v>224</v>
      </c>
      <c r="EK40" s="22" t="s">
        <v>240</v>
      </c>
      <c r="EL40" s="22" t="s">
        <v>240</v>
      </c>
      <c r="EM40" s="23" t="n">
        <f aca="false">SUM(DL40:EL40)</f>
        <v>51.0436123454414</v>
      </c>
      <c r="EN40" s="22" t="s">
        <v>223</v>
      </c>
      <c r="EO40" s="22" t="s">
        <v>223</v>
      </c>
      <c r="EP40" s="22" t="s">
        <v>223</v>
      </c>
      <c r="EQ40" s="22" t="s">
        <v>223</v>
      </c>
      <c r="ER40" s="22" t="s">
        <v>223</v>
      </c>
      <c r="ES40" s="22" t="s">
        <v>223</v>
      </c>
      <c r="ET40" s="22" t="s">
        <v>223</v>
      </c>
      <c r="EU40" s="23" t="n">
        <f aca="false">SUM(EN40:ET40)</f>
        <v>0</v>
      </c>
      <c r="EV40" s="1" t="n">
        <v>16.6108066096422</v>
      </c>
      <c r="EW40" s="1" t="n">
        <v>2.10654790046656</v>
      </c>
      <c r="EX40" s="1" t="n">
        <v>10.281499844479</v>
      </c>
      <c r="EY40" s="1" t="s">
        <v>225</v>
      </c>
      <c r="EZ40" s="1" t="n">
        <v>25.2012702954898</v>
      </c>
      <c r="FA40" s="1" t="n">
        <v>288.510094790046</v>
      </c>
      <c r="FB40" s="1" t="n">
        <v>2.13553709175738</v>
      </c>
      <c r="FC40" s="1" t="n">
        <v>5.56592472783824</v>
      </c>
      <c r="FD40" s="1" t="s">
        <v>225</v>
      </c>
      <c r="FE40" s="1" t="n">
        <v>0.270565785381025</v>
      </c>
      <c r="FF40" s="1" t="s">
        <v>225</v>
      </c>
      <c r="FG40" s="1" t="n">
        <v>3.99084533437013</v>
      </c>
      <c r="FH40" s="1" t="n">
        <v>0.599109953343699</v>
      </c>
      <c r="FI40" s="1" t="n">
        <v>3.72994261275271</v>
      </c>
      <c r="FJ40" s="1" t="n">
        <v>109.144305209953</v>
      </c>
      <c r="FK40" s="1" t="n">
        <v>1.44374869385692</v>
      </c>
    </row>
    <row r="41" customFormat="false" ht="12.8" hidden="false" customHeight="false" outlineLevel="0" collapsed="false">
      <c r="A41" s="11" t="s">
        <v>241</v>
      </c>
      <c r="B41" s="12" t="n">
        <v>43123</v>
      </c>
      <c r="C41" s="2" t="n">
        <v>1</v>
      </c>
      <c r="D41" s="11" t="s">
        <v>227</v>
      </c>
      <c r="E41" s="11" t="s">
        <v>175</v>
      </c>
      <c r="F41" s="11" t="n">
        <v>38</v>
      </c>
      <c r="G41" s="11" t="n">
        <v>469.7</v>
      </c>
      <c r="H41" s="11" t="n">
        <v>4.5</v>
      </c>
      <c r="I41" s="11" t="n">
        <v>0.958058335107516</v>
      </c>
      <c r="J41" s="13" t="n">
        <v>463.2</v>
      </c>
      <c r="K41" s="13" t="n">
        <v>0.84414637702289</v>
      </c>
      <c r="L41" s="13" t="n">
        <v>1.02288106253737</v>
      </c>
      <c r="M41" s="13" t="n">
        <v>0.00971502590673575</v>
      </c>
      <c r="N41" s="11" t="n">
        <v>6.5</v>
      </c>
      <c r="O41" s="11" t="s">
        <v>242</v>
      </c>
      <c r="P41" s="11" t="n">
        <v>92.3300810006348</v>
      </c>
      <c r="Q41" s="14" t="n">
        <v>0.291760878898591</v>
      </c>
      <c r="R41" s="15" t="n">
        <v>2.19307676414682</v>
      </c>
      <c r="S41" s="14" t="n">
        <v>28.79</v>
      </c>
      <c r="T41" s="11" t="s">
        <v>173</v>
      </c>
      <c r="U41" s="11" t="s">
        <v>173</v>
      </c>
      <c r="V41" s="11" t="s">
        <v>173</v>
      </c>
      <c r="W41" s="11" t="s">
        <v>185</v>
      </c>
      <c r="X41" s="11" t="s">
        <v>173</v>
      </c>
      <c r="Y41" s="11" t="s">
        <v>173</v>
      </c>
      <c r="Z41" s="15" t="n">
        <v>1</v>
      </c>
      <c r="AA41" s="11" t="s">
        <v>173</v>
      </c>
      <c r="AB41" s="11" t="n">
        <v>215</v>
      </c>
      <c r="AC41" s="15" t="n">
        <v>3.17764804003336</v>
      </c>
      <c r="AD41" s="15" t="n">
        <v>1.20925160697888</v>
      </c>
      <c r="AE41" s="15" t="n">
        <v>0.814389097652137</v>
      </c>
      <c r="AF41" s="16" t="n">
        <v>2</v>
      </c>
      <c r="AG41" s="16" t="n">
        <v>119</v>
      </c>
      <c r="AH41" s="16" t="n">
        <v>92</v>
      </c>
      <c r="AI41" s="16" t="n">
        <v>27</v>
      </c>
      <c r="AJ41" s="16" t="n">
        <v>0</v>
      </c>
      <c r="AK41" s="16" t="n">
        <v>0</v>
      </c>
      <c r="AL41" s="16" t="n">
        <v>26</v>
      </c>
      <c r="AM41" s="17" t="n">
        <v>1.22689075630252</v>
      </c>
      <c r="AN41" s="17" t="n">
        <v>0.0499283874003348</v>
      </c>
      <c r="AO41" s="18" t="n">
        <v>0.000636973381981205</v>
      </c>
      <c r="AP41" s="16" t="n">
        <v>0.0345790020073832</v>
      </c>
      <c r="AQ41" s="17" t="n">
        <v>12.2361748034376</v>
      </c>
      <c r="AR41" s="16" t="n">
        <v>6.16661215590079</v>
      </c>
      <c r="AS41" s="19" t="n">
        <v>0.0246677740863787</v>
      </c>
      <c r="AT41" s="19" t="n">
        <v>0.0426079734219269</v>
      </c>
      <c r="AU41" s="19" t="n">
        <v>0.50656146179402</v>
      </c>
      <c r="AV41" s="19" t="n">
        <v>0.0132059800664452</v>
      </c>
      <c r="AW41" s="19" t="n">
        <v>0.103405315614618</v>
      </c>
      <c r="AX41" s="19" t="n">
        <v>2.6063122923588</v>
      </c>
      <c r="AY41" s="19" t="n">
        <v>0.12775093649142</v>
      </c>
      <c r="AZ41" s="19" t="n">
        <v>0.180448504983389</v>
      </c>
      <c r="BA41" s="19" t="n">
        <v>7.41279069767442</v>
      </c>
      <c r="BB41" s="19" t="n">
        <v>1.88304640570127</v>
      </c>
      <c r="BC41" s="19" t="n">
        <v>0.65406976744186</v>
      </c>
      <c r="BD41" s="19" t="n">
        <v>0.283056478405316</v>
      </c>
      <c r="BE41" s="19" t="n">
        <v>0.250415282392027</v>
      </c>
      <c r="BF41" s="20" t="n">
        <v>3.29676079734219</v>
      </c>
      <c r="BG41" s="20" t="n">
        <v>10.7915780730897</v>
      </c>
      <c r="BH41" s="20" t="n">
        <v>2.79019933554817</v>
      </c>
      <c r="BI41" s="20" t="n">
        <v>11.2981395348837</v>
      </c>
      <c r="BJ41" s="20" t="n">
        <v>5.14510575504181</v>
      </c>
      <c r="BK41" s="20" t="n">
        <v>14.0883388704319</v>
      </c>
    </row>
    <row r="42" customFormat="false" ht="12.8" hidden="false" customHeight="false" outlineLevel="0" collapsed="false">
      <c r="A42" s="11" t="s">
        <v>243</v>
      </c>
      <c r="B42" s="12" t="n">
        <v>43123</v>
      </c>
      <c r="C42" s="2" t="n">
        <v>1</v>
      </c>
      <c r="D42" s="11" t="s">
        <v>227</v>
      </c>
      <c r="E42" s="11" t="s">
        <v>175</v>
      </c>
      <c r="F42" s="11" t="n">
        <v>31.9</v>
      </c>
      <c r="G42" s="11" t="n">
        <v>331.21</v>
      </c>
      <c r="H42" s="11" t="n">
        <v>6.8</v>
      </c>
      <c r="I42" s="11" t="n">
        <v>2.05307810754506</v>
      </c>
      <c r="J42" s="13" t="n">
        <v>291.31</v>
      </c>
      <c r="K42" s="13" t="n">
        <v>0.897394377180855</v>
      </c>
      <c r="L42" s="13" t="n">
        <v>12.0467377192718</v>
      </c>
      <c r="M42" s="13" t="n">
        <v>0.0233428306614946</v>
      </c>
      <c r="N42" s="11" t="n">
        <v>39.9</v>
      </c>
      <c r="O42" s="11"/>
      <c r="P42" s="11" t="n">
        <v>99.4778547735337</v>
      </c>
      <c r="Q42" s="14" t="n">
        <v>0.178595615306004</v>
      </c>
      <c r="R42" s="15" t="n">
        <v>0.572832628264496</v>
      </c>
      <c r="S42" s="14" t="n">
        <v>29.63</v>
      </c>
      <c r="T42" s="11" t="s">
        <v>173</v>
      </c>
      <c r="U42" s="11" t="s">
        <v>173</v>
      </c>
      <c r="V42" s="11" t="s">
        <v>173</v>
      </c>
      <c r="W42" s="11" t="s">
        <v>173</v>
      </c>
      <c r="X42" s="11" t="s">
        <v>173</v>
      </c>
      <c r="Y42" s="11" t="s">
        <v>173</v>
      </c>
      <c r="Z42" s="15" t="n">
        <v>0</v>
      </c>
      <c r="AA42" s="11" t="s">
        <v>173</v>
      </c>
      <c r="AB42" s="11" t="n">
        <v>1149</v>
      </c>
      <c r="AC42" s="15" t="n">
        <v>2.61061946902655</v>
      </c>
      <c r="AD42" s="15" t="n">
        <v>0.887855831037649</v>
      </c>
      <c r="AE42" s="21" t="n">
        <v>4.8049138680257</v>
      </c>
      <c r="AF42" s="16" t="n">
        <v>2</v>
      </c>
      <c r="AG42" s="16" t="n">
        <v>167</v>
      </c>
      <c r="AH42" s="16" t="n">
        <v>65</v>
      </c>
      <c r="AI42" s="16" t="n">
        <v>9</v>
      </c>
      <c r="AJ42" s="16" t="n">
        <v>90</v>
      </c>
      <c r="AK42" s="16" t="n">
        <v>0</v>
      </c>
      <c r="AL42" s="16" t="n">
        <v>3</v>
      </c>
      <c r="AM42" s="17" t="n">
        <v>2.15243902439024</v>
      </c>
      <c r="AN42" s="17" t="n">
        <v>0.0605342036492933</v>
      </c>
      <c r="AO42" s="18" t="n">
        <v>0.000914143738516313</v>
      </c>
      <c r="AP42" s="16" t="n">
        <v>0.0671667696599004</v>
      </c>
      <c r="AQ42" s="17" t="n">
        <v>14.0761748034376</v>
      </c>
      <c r="AR42" s="16" t="n">
        <v>7.62661215590079</v>
      </c>
      <c r="AS42" s="19" t="n">
        <v>0.026598226784881</v>
      </c>
      <c r="AT42" s="19" t="n">
        <v>0.0769948670088661</v>
      </c>
      <c r="AU42" s="19" t="n">
        <v>0.639477368175455</v>
      </c>
      <c r="AV42" s="19" t="n">
        <v>0</v>
      </c>
      <c r="AW42" s="19" t="n">
        <v>0.0739150723285114</v>
      </c>
      <c r="AX42" s="19" t="n">
        <v>0.86598226784881</v>
      </c>
      <c r="AY42" s="19" t="n">
        <v>0.0828744750349977</v>
      </c>
      <c r="AZ42" s="19" t="n">
        <v>0.218105459636024</v>
      </c>
      <c r="BA42" s="19" t="n">
        <v>5.13205786280915</v>
      </c>
      <c r="BB42" s="19" t="n">
        <v>1.9167522165189</v>
      </c>
      <c r="BC42" s="19" t="n">
        <v>0.683714419038731</v>
      </c>
      <c r="BD42" s="19" t="n">
        <v>0.383574428371442</v>
      </c>
      <c r="BE42" s="19" t="n">
        <v>0.61455902939804</v>
      </c>
      <c r="BF42" s="20" t="n">
        <v>1.68296780214652</v>
      </c>
      <c r="BG42" s="20" t="n">
        <v>9.03163789080728</v>
      </c>
      <c r="BH42" s="20" t="n">
        <v>1.04349043397107</v>
      </c>
      <c r="BI42" s="20" t="n">
        <v>9.67111525898273</v>
      </c>
      <c r="BJ42" s="20" t="n">
        <v>1.35420315236427</v>
      </c>
      <c r="BK42" s="20" t="n">
        <v>10.7146056929538</v>
      </c>
    </row>
    <row r="43" customFormat="false" ht="12.8" hidden="false" customHeight="false" outlineLevel="0" collapsed="false">
      <c r="A43" s="11" t="s">
        <v>244</v>
      </c>
      <c r="B43" s="12" t="n">
        <v>43123</v>
      </c>
      <c r="C43" s="2" t="n">
        <v>1</v>
      </c>
      <c r="D43" s="11" t="s">
        <v>227</v>
      </c>
      <c r="E43" s="11" t="s">
        <v>170</v>
      </c>
      <c r="F43" s="11" t="n">
        <v>28.9</v>
      </c>
      <c r="G43" s="11" t="n">
        <v>227.41</v>
      </c>
      <c r="H43" s="11" t="n">
        <v>3.1</v>
      </c>
      <c r="I43" s="11" t="n">
        <v>1.36317664130865</v>
      </c>
      <c r="J43" s="13" t="n">
        <v>220.61</v>
      </c>
      <c r="K43" s="13" t="n">
        <v>0.913969422521382</v>
      </c>
      <c r="L43" s="13" t="n">
        <v>2.99019392287059</v>
      </c>
      <c r="M43" s="13" t="n">
        <v>0.014051946874575</v>
      </c>
      <c r="N43" s="11" t="n">
        <v>6.8</v>
      </c>
      <c r="O43" s="11" t="s">
        <v>234</v>
      </c>
      <c r="P43" s="11" t="s">
        <v>173</v>
      </c>
      <c r="Q43" s="14" t="n">
        <v>0.233440841802315</v>
      </c>
      <c r="R43" s="15" t="n">
        <v>11.7926186489178</v>
      </c>
      <c r="S43" s="14" t="n">
        <v>38.59</v>
      </c>
      <c r="T43" s="15" t="n">
        <v>19.4107142857143</v>
      </c>
      <c r="U43" s="11" t="s">
        <v>182</v>
      </c>
      <c r="V43" s="11" t="s">
        <v>173</v>
      </c>
      <c r="W43" s="11" t="s">
        <v>173</v>
      </c>
      <c r="X43" s="11" t="s">
        <v>173</v>
      </c>
      <c r="Y43" s="11" t="s">
        <v>173</v>
      </c>
      <c r="Z43" s="15" t="n">
        <v>1</v>
      </c>
      <c r="AA43" s="11" t="n">
        <v>1993</v>
      </c>
      <c r="AB43" s="11" t="s">
        <v>173</v>
      </c>
      <c r="AC43" s="15" t="n">
        <v>4.44258373205742</v>
      </c>
      <c r="AD43" s="11" t="s">
        <v>173</v>
      </c>
      <c r="AE43" s="15" t="n">
        <v>5.93160777113682</v>
      </c>
      <c r="AF43" s="16" t="s">
        <v>173</v>
      </c>
      <c r="AG43" s="16" t="s">
        <v>173</v>
      </c>
      <c r="AH43" s="16" t="s">
        <v>173</v>
      </c>
      <c r="AI43" s="16" t="s">
        <v>173</v>
      </c>
      <c r="AJ43" s="16" t="s">
        <v>173</v>
      </c>
      <c r="AK43" s="16" t="s">
        <v>173</v>
      </c>
      <c r="AL43" s="16" t="s">
        <v>173</v>
      </c>
      <c r="AM43" s="16" t="s">
        <v>173</v>
      </c>
      <c r="AN43" s="17" t="n">
        <v>0.138316574403349</v>
      </c>
      <c r="AO43" s="18" t="n">
        <v>0.000929277035359572</v>
      </c>
      <c r="AP43" s="16" t="n">
        <v>0.0755352085381507</v>
      </c>
      <c r="AQ43" s="17" t="n">
        <v>9.99617480343756</v>
      </c>
      <c r="AR43" s="16" t="n">
        <v>9.16661215590079</v>
      </c>
      <c r="AS43" s="19" t="n">
        <v>0.0458134490238612</v>
      </c>
      <c r="AT43" s="19" t="n">
        <v>0.0481561822125813</v>
      </c>
      <c r="AU43" s="19" t="n">
        <v>0.488069414316703</v>
      </c>
      <c r="AV43" s="19" t="n">
        <v>0</v>
      </c>
      <c r="AW43" s="19" t="n">
        <v>0.0819956616052061</v>
      </c>
      <c r="AX43" s="19" t="n">
        <v>2.49110629067245</v>
      </c>
      <c r="AY43" s="19" t="n">
        <v>0.162662695187843</v>
      </c>
      <c r="AZ43" s="19" t="n">
        <v>0.383427331887202</v>
      </c>
      <c r="BA43" s="19" t="n">
        <v>8.12668112798265</v>
      </c>
      <c r="BB43" s="19" t="n">
        <v>2.96618763019177</v>
      </c>
      <c r="BC43" s="19" t="n">
        <v>0.967288503253796</v>
      </c>
      <c r="BD43" s="19" t="n">
        <v>0.26472885032538</v>
      </c>
      <c r="BE43" s="19" t="n">
        <v>0.424815618221258</v>
      </c>
      <c r="BF43" s="20" t="n">
        <v>3.1551409978308</v>
      </c>
      <c r="BG43" s="20" t="n">
        <v>13.2957917570499</v>
      </c>
      <c r="BH43" s="20" t="n">
        <v>2.6670715835141</v>
      </c>
      <c r="BI43" s="20" t="n">
        <v>13.7838611713666</v>
      </c>
      <c r="BJ43" s="20" t="n">
        <v>5.104</v>
      </c>
      <c r="BK43" s="20" t="n">
        <v>16.4509327548807</v>
      </c>
    </row>
    <row r="44" customFormat="false" ht="12.8" hidden="false" customHeight="false" outlineLevel="0" collapsed="false">
      <c r="A44" s="11" t="s">
        <v>245</v>
      </c>
      <c r="B44" s="12" t="n">
        <v>43123</v>
      </c>
      <c r="C44" s="2" t="n">
        <v>1</v>
      </c>
      <c r="D44" s="11" t="s">
        <v>227</v>
      </c>
      <c r="E44" s="11" t="s">
        <v>175</v>
      </c>
      <c r="F44" s="11" t="n">
        <v>38.4</v>
      </c>
      <c r="G44" s="11" t="n">
        <v>635.46</v>
      </c>
      <c r="H44" s="11" t="n">
        <v>14.2</v>
      </c>
      <c r="I44" s="11" t="n">
        <v>2.23460170585088</v>
      </c>
      <c r="J44" s="13" t="n">
        <v>518.26</v>
      </c>
      <c r="K44" s="13" t="n">
        <v>0.915280094853154</v>
      </c>
      <c r="L44" s="13"/>
      <c r="M44" s="13" t="n">
        <v>0.0273993748311658</v>
      </c>
      <c r="N44" s="11" t="n">
        <v>117.2</v>
      </c>
      <c r="O44" s="11"/>
      <c r="P44" s="11" t="s">
        <v>173</v>
      </c>
      <c r="Q44" s="14" t="n">
        <v>0.180275433535453</v>
      </c>
      <c r="R44" s="15" t="n">
        <v>0.631581237623852</v>
      </c>
      <c r="S44" s="14" t="n">
        <v>29.95</v>
      </c>
      <c r="T44" s="11" t="s">
        <v>173</v>
      </c>
      <c r="U44" s="11" t="s">
        <v>173</v>
      </c>
      <c r="V44" s="11" t="s">
        <v>173</v>
      </c>
      <c r="W44" s="11" t="s">
        <v>173</v>
      </c>
      <c r="X44" s="11" t="s">
        <v>173</v>
      </c>
      <c r="Y44" s="11" t="s">
        <v>173</v>
      </c>
      <c r="Z44" s="15" t="n">
        <v>0</v>
      </c>
      <c r="AA44" s="11" t="s">
        <v>173</v>
      </c>
      <c r="AB44" s="11" t="n">
        <v>4146</v>
      </c>
      <c r="AC44" s="15" t="n">
        <v>3.93797790994053</v>
      </c>
      <c r="AD44" s="15" t="n">
        <v>1.42217630853995</v>
      </c>
      <c r="AE44" s="15" t="n">
        <v>2.8758413408663</v>
      </c>
      <c r="AF44" s="16" t="n">
        <v>2</v>
      </c>
      <c r="AG44" s="16" t="n">
        <v>106</v>
      </c>
      <c r="AH44" s="16" t="n">
        <v>13</v>
      </c>
      <c r="AI44" s="16" t="n">
        <v>8</v>
      </c>
      <c r="AJ44" s="16" t="n">
        <v>85</v>
      </c>
      <c r="AK44" s="16" t="n">
        <v>0</v>
      </c>
      <c r="AL44" s="16" t="n">
        <v>0</v>
      </c>
      <c r="AM44" s="17" t="n">
        <v>2.67924528301887</v>
      </c>
      <c r="AN44" s="17" t="n">
        <v>0.0677421414361915</v>
      </c>
      <c r="AO44" s="18" t="n">
        <v>0.000798125003011089</v>
      </c>
      <c r="AP44" s="16" t="n">
        <v>0.0655514615081575</v>
      </c>
      <c r="AQ44" s="17" t="n">
        <v>14.5561748034376</v>
      </c>
      <c r="AR44" s="16" t="n">
        <v>11.3666121559008</v>
      </c>
      <c r="AS44" s="19" t="n">
        <v>0.0196115585030791</v>
      </c>
      <c r="AT44" s="19" t="n">
        <v>0.0488867835149218</v>
      </c>
      <c r="AU44" s="19" t="n">
        <v>0.557934628138323</v>
      </c>
      <c r="AV44" s="19" t="n">
        <v>0.0250118427285647</v>
      </c>
      <c r="AW44" s="19" t="n">
        <v>0.100900047370914</v>
      </c>
      <c r="AX44" s="19" t="n">
        <v>2.74306016106111</v>
      </c>
      <c r="AY44" s="19" t="n">
        <v>0.0642802568469732</v>
      </c>
      <c r="AZ44" s="19" t="n">
        <v>0.146603505447655</v>
      </c>
      <c r="BA44" s="19" t="n">
        <v>5.49692089057319</v>
      </c>
      <c r="BB44" s="19" t="n">
        <v>1.99322803306302</v>
      </c>
      <c r="BC44" s="19" t="n">
        <v>0.752344860255803</v>
      </c>
      <c r="BD44" s="19" t="n">
        <v>0.246821411653245</v>
      </c>
      <c r="BE44" s="19" t="n">
        <v>0.294173377546187</v>
      </c>
      <c r="BF44" s="20" t="n">
        <v>3.49540502131691</v>
      </c>
      <c r="BG44" s="20" t="n">
        <v>8.99437233538608</v>
      </c>
      <c r="BH44" s="20" t="n">
        <v>2.93747039317859</v>
      </c>
      <c r="BI44" s="20" t="n">
        <v>9.5523069635244</v>
      </c>
      <c r="BJ44" s="20" t="n">
        <v>4.91645440652063</v>
      </c>
      <c r="BK44" s="20" t="n">
        <v>12.489777356703</v>
      </c>
    </row>
    <row r="45" customFormat="false" ht="12.8" hidden="false" customHeight="false" outlineLevel="0" collapsed="false">
      <c r="A45" s="11" t="s">
        <v>246</v>
      </c>
      <c r="B45" s="12" t="n">
        <v>43123</v>
      </c>
      <c r="C45" s="2" t="n">
        <v>1</v>
      </c>
      <c r="D45" s="11" t="s">
        <v>227</v>
      </c>
      <c r="E45" s="11" t="s">
        <v>175</v>
      </c>
      <c r="F45" s="11" t="n">
        <v>29.8</v>
      </c>
      <c r="G45" s="11" t="n">
        <v>289.64</v>
      </c>
      <c r="H45" s="11" t="n">
        <v>3.9</v>
      </c>
      <c r="I45" s="11" t="n">
        <v>1.34649910233393</v>
      </c>
      <c r="J45" s="13" t="n">
        <v>244.74</v>
      </c>
      <c r="K45" s="13" t="n">
        <v>0.9248177647237</v>
      </c>
      <c r="L45" s="13" t="n">
        <v>15.5020024858445</v>
      </c>
      <c r="M45" s="13" t="n">
        <v>0.0159352782544741</v>
      </c>
      <c r="N45" s="11" t="n">
        <v>44.9</v>
      </c>
      <c r="O45" s="11"/>
      <c r="P45" s="11" t="n">
        <v>69.0596204523891</v>
      </c>
      <c r="Q45" s="14" t="n">
        <v>0.130190079564463</v>
      </c>
      <c r="R45" s="15" t="n">
        <v>3.46981214287342</v>
      </c>
      <c r="S45" s="14" t="n">
        <v>35.39</v>
      </c>
      <c r="T45" s="11" t="s">
        <v>173</v>
      </c>
      <c r="U45" s="11" t="s">
        <v>173</v>
      </c>
      <c r="V45" s="11" t="s">
        <v>173</v>
      </c>
      <c r="W45" s="11" t="s">
        <v>173</v>
      </c>
      <c r="X45" s="11" t="s">
        <v>173</v>
      </c>
      <c r="Y45" s="11" t="s">
        <v>173</v>
      </c>
      <c r="Z45" s="15" t="n">
        <v>0</v>
      </c>
      <c r="AA45" s="11" t="s">
        <v>173</v>
      </c>
      <c r="AB45" s="11" t="n">
        <v>2441</v>
      </c>
      <c r="AC45" s="15" t="n">
        <v>3.31547619047619</v>
      </c>
      <c r="AD45" s="15" t="n">
        <v>0.715105601469238</v>
      </c>
      <c r="AE45" s="21" t="n">
        <v>2.54130554759711</v>
      </c>
      <c r="AF45" s="16" t="n">
        <v>2</v>
      </c>
      <c r="AG45" s="16" t="n">
        <v>104</v>
      </c>
      <c r="AH45" s="16" t="n">
        <v>30</v>
      </c>
      <c r="AI45" s="16" t="n">
        <v>0</v>
      </c>
      <c r="AJ45" s="16" t="n">
        <v>74</v>
      </c>
      <c r="AK45" s="16" t="n">
        <v>0</v>
      </c>
      <c r="AL45" s="16" t="n">
        <v>1</v>
      </c>
      <c r="AM45" s="17" t="n">
        <v>2.42307692307692</v>
      </c>
      <c r="AN45" s="17" t="n">
        <v>0.0846800727645994</v>
      </c>
      <c r="AO45" s="18" t="n">
        <v>0.00132344364598479</v>
      </c>
      <c r="AP45" s="16" t="s">
        <v>173</v>
      </c>
      <c r="AQ45" s="17" t="n">
        <v>9.55617480343756</v>
      </c>
      <c r="AR45" s="16" t="n">
        <v>2.04661215590079</v>
      </c>
      <c r="AS45" s="19" t="n">
        <v>0.0310344827586207</v>
      </c>
      <c r="AT45" s="19" t="n">
        <v>0.149939148073022</v>
      </c>
      <c r="AU45" s="19" t="n">
        <v>0.468803245436105</v>
      </c>
      <c r="AV45" s="19" t="n">
        <v>0</v>
      </c>
      <c r="AW45" s="19" t="n">
        <v>0.0888438133874239</v>
      </c>
      <c r="AX45" s="19" t="n">
        <v>1.3698985801217</v>
      </c>
      <c r="AY45" s="19" t="n">
        <v>0.0900608519269777</v>
      </c>
      <c r="AZ45" s="19" t="n">
        <v>0.286247464503043</v>
      </c>
      <c r="BA45" s="19" t="n">
        <v>4.91196754563894</v>
      </c>
      <c r="BB45" s="19" t="n">
        <v>1.87569979716024</v>
      </c>
      <c r="BC45" s="19" t="n">
        <v>0.824421906693712</v>
      </c>
      <c r="BD45" s="19" t="n">
        <v>0.226855983772819</v>
      </c>
      <c r="BE45" s="19" t="n">
        <v>0.464178498985801</v>
      </c>
      <c r="BF45" s="20" t="n">
        <v>2.10851926977688</v>
      </c>
      <c r="BG45" s="20" t="n">
        <v>8.67943204868154</v>
      </c>
      <c r="BH45" s="20" t="n">
        <v>1.63971602434077</v>
      </c>
      <c r="BI45" s="20" t="n">
        <v>9.14823529411765</v>
      </c>
      <c r="BJ45" s="20" t="n">
        <v>2.92211838006231</v>
      </c>
      <c r="BK45" s="20" t="n">
        <v>10.7879513184584</v>
      </c>
      <c r="EV45" s="1" t="n">
        <v>0.381790726309227</v>
      </c>
      <c r="EW45" s="1" t="n">
        <v>0.462296119077307</v>
      </c>
      <c r="EX45" s="1" t="n">
        <v>0.450504925187032</v>
      </c>
      <c r="EY45" s="1" t="n">
        <v>0.621680533042394</v>
      </c>
      <c r="EZ45" s="1" t="n">
        <v>0.263472194513716</v>
      </c>
      <c r="FA45" s="1" t="n">
        <v>34.9669887780549</v>
      </c>
      <c r="FB45" s="1" t="n">
        <v>195.273962016833</v>
      </c>
      <c r="FC45" s="1" t="n">
        <v>0.546460847880299</v>
      </c>
      <c r="FD45" s="1" t="n">
        <v>1.14537217892768</v>
      </c>
      <c r="FE45" s="1" t="n">
        <v>0.146780034289277</v>
      </c>
      <c r="FF45" s="1" t="n">
        <v>0.267538123441397</v>
      </c>
      <c r="FG45" s="1" t="n">
        <v>0.0280549096009975</v>
      </c>
      <c r="FH45" s="1" t="n">
        <v>0.807493485037407</v>
      </c>
      <c r="FI45" s="1" t="s">
        <v>225</v>
      </c>
      <c r="FJ45" s="1" t="n">
        <v>0.292340289900249</v>
      </c>
      <c r="FK45" s="1" t="n">
        <v>82.2232477400249</v>
      </c>
      <c r="FL45" s="1" t="n">
        <v>0.35305436701995</v>
      </c>
    </row>
    <row r="46" customFormat="false" ht="12.8" hidden="false" customHeight="false" outlineLevel="0" collapsed="false">
      <c r="A46" s="11" t="s">
        <v>247</v>
      </c>
      <c r="B46" s="12" t="n">
        <v>43123</v>
      </c>
      <c r="C46" s="2" t="n">
        <v>1</v>
      </c>
      <c r="D46" s="11" t="s">
        <v>227</v>
      </c>
      <c r="E46" s="11" t="s">
        <v>170</v>
      </c>
      <c r="F46" s="11" t="n">
        <v>30.8</v>
      </c>
      <c r="G46" s="11" t="n">
        <v>277.27</v>
      </c>
      <c r="H46" s="11" t="n">
        <v>3.6</v>
      </c>
      <c r="I46" s="11" t="n">
        <v>1.29837342662387</v>
      </c>
      <c r="J46" s="13" t="n">
        <v>272.87</v>
      </c>
      <c r="K46" s="13" t="n">
        <v>0.933907023150572</v>
      </c>
      <c r="L46" s="13" t="n">
        <v>1.58690085476251</v>
      </c>
      <c r="M46" s="13" t="n">
        <v>0.0131930956132957</v>
      </c>
      <c r="N46" s="11" t="n">
        <v>4.4</v>
      </c>
      <c r="O46" s="11"/>
      <c r="P46" s="11" t="n">
        <v>68.2059629494041</v>
      </c>
      <c r="Q46" s="14" t="n">
        <v>0.297279251094001</v>
      </c>
      <c r="R46" s="15" t="n">
        <v>6.75337325870023</v>
      </c>
      <c r="S46" s="14" t="n">
        <v>29.42</v>
      </c>
      <c r="T46" s="15" t="n">
        <v>21.4642857142857</v>
      </c>
      <c r="U46" s="11" t="s">
        <v>173</v>
      </c>
      <c r="V46" s="11" t="s">
        <v>173</v>
      </c>
      <c r="W46" s="11" t="s">
        <v>173</v>
      </c>
      <c r="X46" s="11" t="s">
        <v>173</v>
      </c>
      <c r="Y46" s="11" t="s">
        <v>173</v>
      </c>
      <c r="Z46" s="15" t="n">
        <v>0</v>
      </c>
      <c r="AA46" s="11" t="n">
        <v>1255</v>
      </c>
      <c r="AB46" s="11" t="s">
        <v>173</v>
      </c>
      <c r="AC46" s="15" t="n">
        <v>2.83602150537634</v>
      </c>
      <c r="AD46" s="15" t="n">
        <v>1.77286057051453</v>
      </c>
      <c r="AE46" s="15" t="n">
        <v>4.37656877128936</v>
      </c>
      <c r="AF46" s="16" t="s">
        <v>173</v>
      </c>
      <c r="AG46" s="16" t="s">
        <v>173</v>
      </c>
      <c r="AH46" s="16" t="s">
        <v>173</v>
      </c>
      <c r="AI46" s="16" t="s">
        <v>173</v>
      </c>
      <c r="AJ46" s="16" t="s">
        <v>173</v>
      </c>
      <c r="AK46" s="16" t="s">
        <v>173</v>
      </c>
      <c r="AL46" s="16" t="s">
        <v>173</v>
      </c>
      <c r="AM46" s="16" t="s">
        <v>173</v>
      </c>
      <c r="AN46" s="17" t="n">
        <v>0.0650198076093911</v>
      </c>
      <c r="AO46" s="18" t="n">
        <v>0.00119315124439346</v>
      </c>
      <c r="AP46" s="16" t="n">
        <v>0.0717483790205069</v>
      </c>
      <c r="AQ46" s="17" t="n">
        <v>6.67617480343756</v>
      </c>
      <c r="AR46" s="16" t="n">
        <v>7.56661215590079</v>
      </c>
      <c r="AS46" s="19" t="n">
        <v>0.0602179836512262</v>
      </c>
      <c r="AT46" s="19" t="n">
        <v>0.11008174386921</v>
      </c>
      <c r="AU46" s="19" t="n">
        <v>0.494005449591281</v>
      </c>
      <c r="AV46" s="19" t="n">
        <v>0</v>
      </c>
      <c r="AW46" s="19" t="n">
        <v>0.0664850136239782</v>
      </c>
      <c r="AX46" s="19" t="n">
        <v>3.71934604904632</v>
      </c>
      <c r="AY46" s="19" t="n">
        <v>0.0442587285511682</v>
      </c>
      <c r="AZ46" s="19" t="n">
        <v>0.251934604904632</v>
      </c>
      <c r="BA46" s="19" t="n">
        <v>4.50408719346049</v>
      </c>
      <c r="BB46" s="19" t="n">
        <v>1.71405189815183</v>
      </c>
      <c r="BC46" s="19" t="n">
        <v>0.511171662125341</v>
      </c>
      <c r="BD46" s="19" t="n">
        <v>0.256267029972752</v>
      </c>
      <c r="BE46" s="19" t="n">
        <v>0.340326975476839</v>
      </c>
      <c r="BF46" s="20" t="n">
        <v>4.45013623978202</v>
      </c>
      <c r="BG46" s="20" t="n">
        <v>7.62209809264305</v>
      </c>
      <c r="BH46" s="20" t="n">
        <v>3.95613079019074</v>
      </c>
      <c r="BI46" s="20" t="n">
        <v>8.11610354223433</v>
      </c>
      <c r="BJ46" s="20" t="n">
        <v>7.52895752895753</v>
      </c>
      <c r="BK46" s="20" t="n">
        <v>12.0722343324251</v>
      </c>
    </row>
    <row r="47" customFormat="false" ht="12.8" hidden="false" customHeight="false" outlineLevel="0" collapsed="false">
      <c r="A47" s="11" t="s">
        <v>248</v>
      </c>
      <c r="B47" s="12" t="n">
        <v>43123</v>
      </c>
      <c r="C47" s="2" t="n">
        <v>1</v>
      </c>
      <c r="D47" s="11" t="s">
        <v>227</v>
      </c>
      <c r="E47" s="11" t="s">
        <v>175</v>
      </c>
      <c r="F47" s="11" t="n">
        <v>34.7</v>
      </c>
      <c r="G47" s="11" t="n">
        <v>443.91</v>
      </c>
      <c r="H47" s="11" t="n">
        <v>10.4</v>
      </c>
      <c r="I47" s="11" t="n">
        <v>2.34281723772837</v>
      </c>
      <c r="J47" s="13" t="n">
        <v>393.11</v>
      </c>
      <c r="K47" s="13" t="n">
        <v>0.940861434261893</v>
      </c>
      <c r="L47" s="13" t="n">
        <v>11.4437611227501</v>
      </c>
      <c r="M47" s="13" t="n">
        <v>0.0264556994225535</v>
      </c>
      <c r="N47" s="11" t="n">
        <v>50.8</v>
      </c>
      <c r="O47" s="11"/>
      <c r="P47" s="11" t="n">
        <v>82.0536437606648</v>
      </c>
      <c r="Q47" s="14" t="n">
        <v>0.193757635792576</v>
      </c>
      <c r="R47" s="15" t="n">
        <v>7.89004476997355</v>
      </c>
      <c r="S47" s="14" t="n">
        <v>27.89</v>
      </c>
      <c r="T47" s="11" t="s">
        <v>173</v>
      </c>
      <c r="U47" s="11" t="s">
        <v>173</v>
      </c>
      <c r="V47" s="11" t="s">
        <v>173</v>
      </c>
      <c r="W47" s="11" t="s">
        <v>173</v>
      </c>
      <c r="X47" s="11" t="s">
        <v>249</v>
      </c>
      <c r="Y47" s="11" t="s">
        <v>173</v>
      </c>
      <c r="Z47" s="15" t="n">
        <v>3</v>
      </c>
      <c r="AA47" s="11" t="s">
        <v>173</v>
      </c>
      <c r="AB47" s="11" t="n">
        <v>4908</v>
      </c>
      <c r="AC47" s="15" t="n">
        <v>2.63480392156863</v>
      </c>
      <c r="AD47" s="15" t="n">
        <v>0.859733700642792</v>
      </c>
      <c r="AE47" s="21" t="n">
        <v>0.725948103039589</v>
      </c>
      <c r="AF47" s="16" t="n">
        <v>2</v>
      </c>
      <c r="AG47" s="16" t="n">
        <v>100</v>
      </c>
      <c r="AH47" s="16" t="n">
        <v>38</v>
      </c>
      <c r="AI47" s="16" t="n">
        <v>0</v>
      </c>
      <c r="AJ47" s="16" t="n">
        <v>62</v>
      </c>
      <c r="AK47" s="16" t="n">
        <v>0</v>
      </c>
      <c r="AL47" s="16" t="n">
        <v>0</v>
      </c>
      <c r="AM47" s="17" t="n">
        <v>2.24</v>
      </c>
      <c r="AN47" s="17" t="n">
        <v>0.0788342958952653</v>
      </c>
      <c r="AO47" s="18" t="n">
        <v>0.000799221318900946</v>
      </c>
      <c r="AP47" s="16" t="n">
        <v>0.0992272436815731</v>
      </c>
      <c r="AQ47" s="17" t="n">
        <v>12.2361748034376</v>
      </c>
      <c r="AR47" s="16" t="n">
        <v>7.70661215590079</v>
      </c>
      <c r="AS47" s="19" t="n">
        <v>0.0202549087151223</v>
      </c>
      <c r="AT47" s="19" t="n">
        <v>0.0186014467791939</v>
      </c>
      <c r="AU47" s="19" t="n">
        <v>0.396624181880813</v>
      </c>
      <c r="AV47" s="19" t="n">
        <v>0</v>
      </c>
      <c r="AW47" s="19" t="n">
        <v>0.0669652084050982</v>
      </c>
      <c r="AX47" s="19" t="n">
        <v>0.808336203926972</v>
      </c>
      <c r="AY47" s="19" t="n">
        <v>0.0940406476059249</v>
      </c>
      <c r="AZ47" s="19" t="n">
        <v>0.161625904236996</v>
      </c>
      <c r="BA47" s="19" t="n">
        <v>3.4454013089907</v>
      </c>
      <c r="BB47" s="19" t="n">
        <v>1.80847399242163</v>
      </c>
      <c r="BC47" s="19" t="n">
        <v>0.571064416121254</v>
      </c>
      <c r="BD47" s="19" t="n">
        <v>0.279021701687909</v>
      </c>
      <c r="BE47" s="19" t="n">
        <v>0.279021701687909</v>
      </c>
      <c r="BF47" s="20" t="n">
        <v>1.3107819497072</v>
      </c>
      <c r="BG47" s="20" t="n">
        <v>6.63864967275233</v>
      </c>
      <c r="BH47" s="20" t="n">
        <v>0.914157767826386</v>
      </c>
      <c r="BI47" s="20" t="n">
        <v>7.03527385463314</v>
      </c>
      <c r="BJ47" s="20" t="n">
        <v>2.03804064616988</v>
      </c>
      <c r="BK47" s="20" t="n">
        <v>7.94943162245952</v>
      </c>
      <c r="EV47" s="1" t="n">
        <v>0.517514022140222</v>
      </c>
      <c r="EW47" s="1" t="n">
        <v>0.612270110701107</v>
      </c>
      <c r="EX47" s="1" t="n">
        <v>0.193677279915656</v>
      </c>
      <c r="EY47" s="1" t="n">
        <v>0.316547812335266</v>
      </c>
      <c r="EZ47" s="1" t="n">
        <v>0.0333208223510807</v>
      </c>
      <c r="FA47" s="1" t="n">
        <v>41.9998552978387</v>
      </c>
      <c r="FB47" s="1" t="n">
        <v>390.059794095941</v>
      </c>
      <c r="FC47" s="1" t="n">
        <v>0.620600316288878</v>
      </c>
      <c r="FD47" s="1" t="n">
        <v>1.39322688455456</v>
      </c>
      <c r="FE47" s="1" t="n">
        <v>0.192636004217185</v>
      </c>
      <c r="FF47" s="1" t="n">
        <v>0.099962467053242</v>
      </c>
      <c r="FG47" s="1" t="s">
        <v>225</v>
      </c>
      <c r="FH47" s="1" t="n">
        <v>1.70040321560359</v>
      </c>
      <c r="FI47" s="1" t="s">
        <v>225</v>
      </c>
      <c r="FJ47" s="1" t="n">
        <v>0.412345176594623</v>
      </c>
      <c r="FK47" s="1" t="n">
        <v>90.3858544544018</v>
      </c>
      <c r="FL47" s="1" t="n">
        <v>0.475124729731155</v>
      </c>
    </row>
    <row r="48" customFormat="false" ht="12.8" hidden="false" customHeight="false" outlineLevel="0" collapsed="false">
      <c r="A48" s="11" t="s">
        <v>250</v>
      </c>
      <c r="B48" s="12" t="n">
        <v>43123</v>
      </c>
      <c r="C48" s="2" t="n">
        <v>1</v>
      </c>
      <c r="D48" s="11" t="s">
        <v>227</v>
      </c>
      <c r="E48" s="11" t="s">
        <v>175</v>
      </c>
      <c r="F48" s="11" t="n">
        <v>30.6</v>
      </c>
      <c r="G48" s="11" t="n">
        <v>322.12</v>
      </c>
      <c r="H48" s="11" t="n">
        <v>7.3</v>
      </c>
      <c r="I48" s="11" t="n">
        <v>2.26623618527257</v>
      </c>
      <c r="J48" s="13" t="n">
        <v>272.22</v>
      </c>
      <c r="K48" s="13" t="n">
        <v>0.950070318186653</v>
      </c>
      <c r="L48" s="13" t="n">
        <v>15.4911213212467</v>
      </c>
      <c r="M48" s="13" t="n">
        <v>0.0268165454411873</v>
      </c>
      <c r="N48" s="11" t="n">
        <v>49.9</v>
      </c>
      <c r="O48" s="11" t="s">
        <v>222</v>
      </c>
      <c r="P48" s="11" t="n">
        <v>123.023294160435</v>
      </c>
      <c r="Q48" s="14" t="n">
        <v>0.197400407658967</v>
      </c>
      <c r="R48" s="15" t="n">
        <v>2.71094681584318</v>
      </c>
      <c r="S48" s="14" t="n">
        <v>27.41</v>
      </c>
      <c r="T48" s="11" t="s">
        <v>173</v>
      </c>
      <c r="U48" s="11" t="s">
        <v>173</v>
      </c>
      <c r="V48" s="11" t="s">
        <v>229</v>
      </c>
      <c r="W48" s="11" t="s">
        <v>173</v>
      </c>
      <c r="X48" s="11" t="s">
        <v>173</v>
      </c>
      <c r="Y48" s="11" t="s">
        <v>173</v>
      </c>
      <c r="Z48" s="15" t="n">
        <v>1</v>
      </c>
      <c r="AA48" s="11" t="s">
        <v>173</v>
      </c>
      <c r="AB48" s="11" t="n">
        <v>6686</v>
      </c>
      <c r="AC48" s="15" t="n">
        <v>2.63091216216216</v>
      </c>
      <c r="AD48" s="15" t="n">
        <v>0.815541781450872</v>
      </c>
      <c r="AE48" s="15" t="n">
        <v>3.4099893205359</v>
      </c>
      <c r="AF48" s="16" t="n">
        <v>2</v>
      </c>
      <c r="AG48" s="16" t="n">
        <v>134</v>
      </c>
      <c r="AH48" s="16" t="n">
        <v>21</v>
      </c>
      <c r="AI48" s="16" t="n">
        <v>12</v>
      </c>
      <c r="AJ48" s="16" t="n">
        <v>101</v>
      </c>
      <c r="AK48" s="16" t="n">
        <v>0</v>
      </c>
      <c r="AL48" s="16" t="n">
        <v>0</v>
      </c>
      <c r="AM48" s="17" t="n">
        <v>2.59701492537313</v>
      </c>
      <c r="AN48" s="17" t="n">
        <v>0.0956673501085302</v>
      </c>
      <c r="AO48" s="18" t="n">
        <v>0.000884305626601988</v>
      </c>
      <c r="AP48" s="16" t="n">
        <v>0.0690926817059732</v>
      </c>
      <c r="AQ48" s="17" t="n">
        <v>13.2761748034376</v>
      </c>
      <c r="AR48" s="16" t="n">
        <v>9.66661215590079</v>
      </c>
      <c r="AS48" s="19" t="n">
        <v>0</v>
      </c>
      <c r="AT48" s="19" t="n">
        <v>0.0182112505058681</v>
      </c>
      <c r="AU48" s="19" t="n">
        <v>0.356454876568191</v>
      </c>
      <c r="AV48" s="19" t="n">
        <v>0</v>
      </c>
      <c r="AW48" s="19" t="n">
        <v>0.0271954674220963</v>
      </c>
      <c r="AX48" s="19" t="n">
        <v>1.88207203561311</v>
      </c>
      <c r="AY48" s="19" t="n">
        <v>0</v>
      </c>
      <c r="AZ48" s="19" t="n">
        <v>0.188207203561311</v>
      </c>
      <c r="BA48" s="19" t="n">
        <v>5.32739781464994</v>
      </c>
      <c r="BB48" s="19" t="n">
        <v>2.17588021044112</v>
      </c>
      <c r="BC48" s="19" t="n">
        <v>0.689599352488871</v>
      </c>
      <c r="BD48" s="19" t="n">
        <v>0.238980169971671</v>
      </c>
      <c r="BE48" s="19" t="n">
        <v>0.264912990692028</v>
      </c>
      <c r="BF48" s="20" t="n">
        <v>2.28393363010927</v>
      </c>
      <c r="BG48" s="20" t="n">
        <v>8.88497774180494</v>
      </c>
      <c r="BH48" s="20" t="n">
        <v>1.92747875354108</v>
      </c>
      <c r="BI48" s="20" t="n">
        <v>9.24143261837313</v>
      </c>
      <c r="BJ48" s="20" t="n">
        <v>5.2799727520436</v>
      </c>
      <c r="BK48" s="20" t="n">
        <v>11.1689113719142</v>
      </c>
      <c r="BL48" s="22" t="s">
        <v>223</v>
      </c>
      <c r="BM48" s="22" t="s">
        <v>223</v>
      </c>
      <c r="BN48" s="22" t="s">
        <v>223</v>
      </c>
      <c r="BO48" s="22" t="s">
        <v>223</v>
      </c>
      <c r="BP48" s="22" t="s">
        <v>223</v>
      </c>
      <c r="BQ48" s="22" t="s">
        <v>223</v>
      </c>
      <c r="BR48" s="22" t="s">
        <v>223</v>
      </c>
      <c r="BS48" s="22" t="s">
        <v>223</v>
      </c>
      <c r="BT48" s="22" t="s">
        <v>223</v>
      </c>
      <c r="BU48" s="22" t="s">
        <v>223</v>
      </c>
      <c r="BV48" s="22" t="s">
        <v>223</v>
      </c>
      <c r="BW48" s="22" t="s">
        <v>223</v>
      </c>
      <c r="BX48" s="22" t="s">
        <v>223</v>
      </c>
      <c r="BY48" s="22" t="s">
        <v>223</v>
      </c>
      <c r="BZ48" s="22" t="s">
        <v>223</v>
      </c>
      <c r="CA48" s="22" t="s">
        <v>223</v>
      </c>
      <c r="CB48" s="22" t="s">
        <v>223</v>
      </c>
      <c r="CC48" s="22" t="s">
        <v>223</v>
      </c>
      <c r="CD48" s="22" t="s">
        <v>223</v>
      </c>
      <c r="CE48" s="22" t="s">
        <v>223</v>
      </c>
      <c r="CF48" s="22" t="s">
        <v>223</v>
      </c>
      <c r="CG48" s="22" t="s">
        <v>223</v>
      </c>
      <c r="CH48" s="22" t="s">
        <v>223</v>
      </c>
      <c r="CI48" s="22" t="s">
        <v>223</v>
      </c>
      <c r="CJ48" s="23" t="n">
        <f aca="false">SUM(BL48:CI48)</f>
        <v>0</v>
      </c>
      <c r="CK48" s="22" t="s">
        <v>223</v>
      </c>
      <c r="CL48" s="22" t="s">
        <v>223</v>
      </c>
      <c r="CM48" s="22" t="n">
        <v>2.44623823868116</v>
      </c>
      <c r="CN48" s="22" t="n">
        <v>5.65724600348175</v>
      </c>
      <c r="CO48" s="22" t="n">
        <v>8.96555703388236</v>
      </c>
      <c r="CP48" s="22" t="s">
        <v>223</v>
      </c>
      <c r="CQ48" s="22" t="n">
        <v>14.34967106375</v>
      </c>
      <c r="CR48" s="22" t="n">
        <v>62.0282712077589</v>
      </c>
      <c r="CS48" s="22" t="n">
        <v>75.7497387321965</v>
      </c>
      <c r="CT48" s="22" t="n">
        <v>10.0154080574615</v>
      </c>
      <c r="CU48" s="22" t="n">
        <v>391.095965943174</v>
      </c>
      <c r="CV48" s="22" t="n">
        <v>65.5038755719981</v>
      </c>
      <c r="CW48" s="22" t="n">
        <v>307.399793853643</v>
      </c>
      <c r="CX48" s="22" t="n">
        <v>421.254857054675</v>
      </c>
      <c r="CY48" s="22" t="n">
        <v>177.41970176037</v>
      </c>
      <c r="CZ48" s="22" t="n">
        <v>61.3266634505377</v>
      </c>
      <c r="DA48" s="22" t="n">
        <v>46.4358496640647</v>
      </c>
      <c r="DB48" s="22" t="n">
        <v>2009.11782810917</v>
      </c>
      <c r="DC48" s="22" t="n">
        <v>257.256177647767</v>
      </c>
      <c r="DD48" s="22" t="n">
        <v>3327.33125821316</v>
      </c>
      <c r="DE48" s="22" t="n">
        <v>79.2919190150042</v>
      </c>
      <c r="DF48" s="22" t="n">
        <v>7.3199368928575</v>
      </c>
      <c r="DG48" s="22" t="n">
        <v>306.805731811032</v>
      </c>
      <c r="DH48" s="22" t="n">
        <v>1208.97600433187</v>
      </c>
      <c r="DI48" s="22" t="n">
        <v>822.239907517514</v>
      </c>
      <c r="DJ48" s="22" t="n">
        <v>201.730154486858</v>
      </c>
      <c r="DK48" s="23" t="n">
        <f aca="false">SUM(CK48:DJ48)</f>
        <v>9869.71775566091</v>
      </c>
      <c r="DL48" s="22" t="s">
        <v>223</v>
      </c>
      <c r="DM48" s="22" t="n">
        <v>233.140331452478</v>
      </c>
      <c r="DN48" s="22" t="s">
        <v>223</v>
      </c>
      <c r="DO48" s="22" t="s">
        <v>240</v>
      </c>
      <c r="DP48" s="22" t="s">
        <v>240</v>
      </c>
      <c r="DQ48" s="22" t="s">
        <v>240</v>
      </c>
      <c r="DR48" s="22" t="s">
        <v>240</v>
      </c>
      <c r="DS48" s="22" t="s">
        <v>240</v>
      </c>
      <c r="DT48" s="22" t="s">
        <v>240</v>
      </c>
      <c r="DU48" s="22" t="s">
        <v>223</v>
      </c>
      <c r="DV48" s="22" t="s">
        <v>223</v>
      </c>
      <c r="DW48" s="22" t="n">
        <v>33.9195769731993</v>
      </c>
      <c r="DX48" s="22" t="s">
        <v>240</v>
      </c>
      <c r="DY48" s="22" t="s">
        <v>240</v>
      </c>
      <c r="DZ48" s="22" t="s">
        <v>240</v>
      </c>
      <c r="EA48" s="22" t="s">
        <v>240</v>
      </c>
      <c r="EB48" s="22" t="s">
        <v>223</v>
      </c>
      <c r="EC48" s="22" t="s">
        <v>240</v>
      </c>
      <c r="ED48" s="22" t="s">
        <v>240</v>
      </c>
      <c r="EE48" s="22" t="s">
        <v>240</v>
      </c>
      <c r="EF48" s="22" t="s">
        <v>223</v>
      </c>
      <c r="EG48" s="22" t="s">
        <v>223</v>
      </c>
      <c r="EH48" s="22" t="s">
        <v>223</v>
      </c>
      <c r="EI48" s="22" t="s">
        <v>223</v>
      </c>
      <c r="EJ48" s="22" t="s">
        <v>223</v>
      </c>
      <c r="EK48" s="22" t="s">
        <v>240</v>
      </c>
      <c r="EL48" s="22" t="s">
        <v>240</v>
      </c>
      <c r="EM48" s="23" t="n">
        <f aca="false">SUM(DL48:EL48)</f>
        <v>267.059908425677</v>
      </c>
      <c r="EN48" s="22" t="s">
        <v>223</v>
      </c>
      <c r="EO48" s="22" t="s">
        <v>223</v>
      </c>
      <c r="EP48" s="22" t="s">
        <v>223</v>
      </c>
      <c r="EQ48" s="22" t="s">
        <v>223</v>
      </c>
      <c r="ER48" s="22" t="s">
        <v>224</v>
      </c>
      <c r="ES48" s="22" t="s">
        <v>223</v>
      </c>
      <c r="ET48" s="22" t="s">
        <v>223</v>
      </c>
      <c r="EU48" s="10" t="n">
        <f aca="false">SUM(EN48:ET48)</f>
        <v>0</v>
      </c>
      <c r="EV48" s="1" t="n">
        <v>0.754355450643777</v>
      </c>
      <c r="EW48" s="1" t="n">
        <v>0.10613226037196</v>
      </c>
      <c r="EX48" s="1" t="n">
        <v>0.306967153075823</v>
      </c>
      <c r="EY48" s="1" t="n">
        <v>0.498005221745351</v>
      </c>
      <c r="EZ48" s="1" t="n">
        <v>58.7809442060086</v>
      </c>
      <c r="FA48" s="1" t="n">
        <v>306.761419771102</v>
      </c>
      <c r="FB48" s="1" t="n">
        <v>0.520864477825465</v>
      </c>
      <c r="FC48" s="1" t="n">
        <v>6.96880749642346</v>
      </c>
      <c r="FD48" s="1" t="s">
        <v>225</v>
      </c>
      <c r="FE48" s="1" t="n">
        <v>0.200834892703863</v>
      </c>
      <c r="FF48" s="1" t="s">
        <v>225</v>
      </c>
      <c r="FG48" s="1" t="n">
        <v>1.30950881258941</v>
      </c>
      <c r="FH48" s="1" t="s">
        <v>225</v>
      </c>
      <c r="FI48" s="1" t="n">
        <v>0.217162932761087</v>
      </c>
      <c r="FJ48" s="1" t="n">
        <v>190.203705822604</v>
      </c>
      <c r="FK48" s="1" t="n">
        <v>0.957121950486409</v>
      </c>
    </row>
    <row r="49" customFormat="false" ht="12.8" hidden="false" customHeight="false" outlineLevel="0" collapsed="false">
      <c r="A49" s="11" t="s">
        <v>251</v>
      </c>
      <c r="B49" s="12" t="n">
        <v>43123</v>
      </c>
      <c r="C49" s="2" t="n">
        <v>1</v>
      </c>
      <c r="D49" s="11" t="s">
        <v>227</v>
      </c>
      <c r="E49" s="11" t="s">
        <v>175</v>
      </c>
      <c r="F49" s="11" t="n">
        <v>29.8</v>
      </c>
      <c r="G49" s="11" t="n">
        <v>291.36</v>
      </c>
      <c r="H49" s="11" t="n">
        <v>7.7</v>
      </c>
      <c r="I49" s="11" t="n">
        <v>2.64277869302581</v>
      </c>
      <c r="J49" s="13" t="n">
        <v>256.06</v>
      </c>
      <c r="K49" s="13" t="n">
        <v>0.967593514893972</v>
      </c>
      <c r="L49" s="13" t="n">
        <v>12.115595826469</v>
      </c>
      <c r="M49" s="13" t="n">
        <v>0.0300710770913067</v>
      </c>
      <c r="N49" s="11" t="n">
        <v>35.3</v>
      </c>
      <c r="O49" s="11"/>
      <c r="P49" s="11" t="n">
        <v>110.279525500262</v>
      </c>
      <c r="Q49" s="14" t="n">
        <v>0.271512397751715</v>
      </c>
      <c r="R49" s="15" t="n">
        <v>7.71507765051762</v>
      </c>
      <c r="S49" s="14" t="n">
        <v>29.76</v>
      </c>
      <c r="T49" s="11" t="s">
        <v>173</v>
      </c>
      <c r="U49" s="11" t="s">
        <v>173</v>
      </c>
      <c r="V49" s="11" t="s">
        <v>173</v>
      </c>
      <c r="W49" s="11" t="s">
        <v>173</v>
      </c>
      <c r="X49" s="11" t="s">
        <v>173</v>
      </c>
      <c r="Y49" s="11" t="s">
        <v>173</v>
      </c>
      <c r="Z49" s="15" t="n">
        <v>0</v>
      </c>
      <c r="AA49" s="11" t="s">
        <v>173</v>
      </c>
      <c r="AB49" s="11" t="n">
        <v>4320</v>
      </c>
      <c r="AC49" s="15" t="n">
        <v>3.43269230769231</v>
      </c>
      <c r="AD49" s="15" t="n">
        <v>0.699035812672176</v>
      </c>
      <c r="AE49" s="15" t="n">
        <v>3.4575166261729</v>
      </c>
      <c r="AF49" s="16" t="n">
        <v>2</v>
      </c>
      <c r="AG49" s="16" t="n">
        <v>122</v>
      </c>
      <c r="AH49" s="16" t="n">
        <v>37</v>
      </c>
      <c r="AI49" s="16" t="n">
        <v>13</v>
      </c>
      <c r="AJ49" s="16" t="n">
        <v>72</v>
      </c>
      <c r="AK49" s="16" t="n">
        <v>0</v>
      </c>
      <c r="AL49" s="16" t="n">
        <v>0</v>
      </c>
      <c r="AM49" s="17" t="n">
        <v>2.28688524590164</v>
      </c>
      <c r="AN49" s="17" t="n">
        <v>0.070707687226571</v>
      </c>
      <c r="AO49" s="18" t="n">
        <v>0.000908106516874565</v>
      </c>
      <c r="AP49" s="16" t="n">
        <v>0.09508170629625</v>
      </c>
      <c r="AQ49" s="17" t="n">
        <v>13.0361748034376</v>
      </c>
      <c r="AR49" s="16" t="n">
        <v>9.08661215590079</v>
      </c>
      <c r="AS49" s="19" t="n">
        <v>0.0559615384615385</v>
      </c>
      <c r="AT49" s="19" t="n">
        <v>0.0669230769230769</v>
      </c>
      <c r="AU49" s="19" t="n">
        <v>0.488365384615385</v>
      </c>
      <c r="AV49" s="19" t="n">
        <v>0</v>
      </c>
      <c r="AW49" s="19" t="n">
        <v>0.0793269230769231</v>
      </c>
      <c r="AX49" s="19" t="n">
        <v>1.83346153846154</v>
      </c>
      <c r="AY49" s="19" t="n">
        <v>0.0531155258964483</v>
      </c>
      <c r="AZ49" s="19" t="n">
        <v>0.264086538461538</v>
      </c>
      <c r="BA49" s="19" t="n">
        <v>2.57076923076923</v>
      </c>
      <c r="BB49" s="19" t="n">
        <v>1.33380755102663</v>
      </c>
      <c r="BC49" s="19" t="n">
        <v>0.320769230769231</v>
      </c>
      <c r="BD49" s="19" t="n">
        <v>0.39375</v>
      </c>
      <c r="BE49" s="19" t="n">
        <v>0.541730769230769</v>
      </c>
      <c r="BF49" s="20" t="n">
        <v>2.52403846153846</v>
      </c>
      <c r="BG49" s="20" t="n">
        <v>5.47802884615385</v>
      </c>
      <c r="BH49" s="20" t="n">
        <v>2.03567307692308</v>
      </c>
      <c r="BI49" s="20" t="n">
        <v>5.96639423076923</v>
      </c>
      <c r="BJ49" s="20" t="n">
        <v>3.75428233904312</v>
      </c>
      <c r="BK49" s="20" t="n">
        <v>8.00206730769231</v>
      </c>
    </row>
    <row r="50" customFormat="false" ht="12.8" hidden="false" customHeight="false" outlineLevel="0" collapsed="false">
      <c r="A50" s="11" t="s">
        <v>252</v>
      </c>
      <c r="B50" s="12" t="n">
        <v>43123</v>
      </c>
      <c r="C50" s="2" t="n">
        <v>1</v>
      </c>
      <c r="D50" s="11" t="s">
        <v>227</v>
      </c>
      <c r="E50" s="11" t="s">
        <v>175</v>
      </c>
      <c r="F50" s="11" t="n">
        <v>27.6</v>
      </c>
      <c r="G50" s="11" t="n">
        <v>228.73</v>
      </c>
      <c r="H50" s="11" t="n">
        <v>4.5</v>
      </c>
      <c r="I50" s="11" t="n">
        <v>1.96738512656844</v>
      </c>
      <c r="J50" s="13" t="n">
        <v>207.13</v>
      </c>
      <c r="K50" s="13" t="n">
        <v>0.98518039079599</v>
      </c>
      <c r="L50" s="13" t="n">
        <v>9.44344860752853</v>
      </c>
      <c r="M50" s="13" t="n">
        <v>0.0217254864095013</v>
      </c>
      <c r="N50" s="11" t="n">
        <v>21.6</v>
      </c>
      <c r="O50" s="11"/>
      <c r="P50" s="11" t="s">
        <v>173</v>
      </c>
      <c r="Q50" s="14" t="n">
        <v>0.187718882419788</v>
      </c>
      <c r="R50" s="15" t="n">
        <v>2.43985213425886</v>
      </c>
      <c r="S50" s="14" t="n">
        <v>38.86</v>
      </c>
      <c r="T50" s="11" t="s">
        <v>173</v>
      </c>
      <c r="U50" s="11" t="s">
        <v>173</v>
      </c>
      <c r="V50" s="11" t="s">
        <v>173</v>
      </c>
      <c r="W50" s="11" t="s">
        <v>173</v>
      </c>
      <c r="X50" s="11" t="s">
        <v>173</v>
      </c>
      <c r="Y50" s="11" t="s">
        <v>173</v>
      </c>
      <c r="Z50" s="15" t="n">
        <v>0</v>
      </c>
      <c r="AA50" s="11" t="s">
        <v>173</v>
      </c>
      <c r="AB50" s="11" t="n">
        <v>4569</v>
      </c>
      <c r="AC50" s="15" t="n">
        <v>3.29723011363636</v>
      </c>
      <c r="AD50" s="15" t="n">
        <v>1.39405417814509</v>
      </c>
      <c r="AE50" s="15" t="n">
        <v>2.50779294933736</v>
      </c>
      <c r="AF50" s="16" t="n">
        <v>2</v>
      </c>
      <c r="AG50" s="16" t="n">
        <v>104</v>
      </c>
      <c r="AH50" s="16" t="n">
        <v>20</v>
      </c>
      <c r="AI50" s="16" t="n">
        <v>15</v>
      </c>
      <c r="AJ50" s="16" t="n">
        <v>70</v>
      </c>
      <c r="AK50" s="16" t="n">
        <v>0</v>
      </c>
      <c r="AL50" s="16" t="n">
        <v>0</v>
      </c>
      <c r="AM50" s="17" t="n">
        <v>2.47619047619048</v>
      </c>
      <c r="AN50" s="17" t="n">
        <v>0.0634176054286178</v>
      </c>
      <c r="AO50" s="18" t="n">
        <v>0.000957686785641656</v>
      </c>
      <c r="AP50" s="16" t="n">
        <v>0.0649746201465234</v>
      </c>
      <c r="AQ50" s="17" t="n">
        <v>13.4361748034376</v>
      </c>
      <c r="AR50" s="16" t="n">
        <v>9.82661215590079</v>
      </c>
      <c r="AS50" s="19" t="n">
        <v>0.0313021702838063</v>
      </c>
      <c r="AT50" s="19" t="n">
        <v>0.0275459098497496</v>
      </c>
      <c r="AU50" s="19" t="n">
        <v>0.484056761268781</v>
      </c>
      <c r="AV50" s="19" t="n">
        <v>0</v>
      </c>
      <c r="AW50" s="19" t="n">
        <v>0.0445742904841402</v>
      </c>
      <c r="AX50" s="19" t="n">
        <v>0.585976627712855</v>
      </c>
      <c r="AY50" s="19" t="n">
        <v>0</v>
      </c>
      <c r="AZ50" s="19" t="n">
        <v>0.129165275459098</v>
      </c>
      <c r="BA50" s="19" t="n">
        <v>4.84307178631052</v>
      </c>
      <c r="BB50" s="19" t="n">
        <v>1.81277128547579</v>
      </c>
      <c r="BC50" s="19" t="n">
        <v>0.662854757929883</v>
      </c>
      <c r="BD50" s="19" t="n">
        <v>0.217462437395659</v>
      </c>
      <c r="BE50" s="19" t="n">
        <v>0.259181969949917</v>
      </c>
      <c r="BF50" s="20" t="n">
        <v>1.17345575959933</v>
      </c>
      <c r="BG50" s="20" t="n">
        <v>7.92450751252087</v>
      </c>
      <c r="BH50" s="20" t="n">
        <v>0.689398998330551</v>
      </c>
      <c r="BI50" s="20" t="n">
        <v>8.40856427378965</v>
      </c>
      <c r="BJ50" s="20" t="n">
        <v>1.21055354371443</v>
      </c>
      <c r="BK50" s="20" t="n">
        <v>9.0979632721202</v>
      </c>
    </row>
    <row r="51" customFormat="false" ht="12.8" hidden="false" customHeight="false" outlineLevel="0" collapsed="false">
      <c r="A51" s="11" t="s">
        <v>253</v>
      </c>
      <c r="B51" s="12" t="n">
        <v>43123</v>
      </c>
      <c r="C51" s="2" t="n">
        <v>1</v>
      </c>
      <c r="D51" s="11" t="s">
        <v>227</v>
      </c>
      <c r="E51" s="11" t="s">
        <v>170</v>
      </c>
      <c r="F51" s="11" t="n">
        <v>29.4</v>
      </c>
      <c r="G51" s="11" t="n">
        <v>256.18</v>
      </c>
      <c r="H51" s="11" t="n">
        <v>5.9</v>
      </c>
      <c r="I51" s="11" t="n">
        <v>2.30306815520337</v>
      </c>
      <c r="J51" s="13" t="n">
        <v>250.58</v>
      </c>
      <c r="K51" s="13" t="n">
        <v>0.986062433673548</v>
      </c>
      <c r="L51" s="13" t="n">
        <v>2.1859629947693</v>
      </c>
      <c r="M51" s="13" t="n">
        <v>0.023545374730625</v>
      </c>
      <c r="N51" s="11" t="n">
        <v>5.6</v>
      </c>
      <c r="O51" s="11"/>
      <c r="P51" s="11" t="s">
        <v>173</v>
      </c>
      <c r="Q51" s="14" t="n">
        <v>0.176624496116373</v>
      </c>
      <c r="R51" s="15" t="n">
        <v>6.85094179661412</v>
      </c>
      <c r="S51" s="14" t="n">
        <v>26.8</v>
      </c>
      <c r="T51" s="15" t="n">
        <v>17.9821428571429</v>
      </c>
      <c r="U51" s="11" t="s">
        <v>182</v>
      </c>
      <c r="V51" s="11" t="s">
        <v>173</v>
      </c>
      <c r="W51" s="11" t="s">
        <v>229</v>
      </c>
      <c r="X51" s="11" t="s">
        <v>173</v>
      </c>
      <c r="Y51" s="11" t="s">
        <v>173</v>
      </c>
      <c r="Z51" s="15" t="n">
        <v>2</v>
      </c>
      <c r="AA51" s="11" t="n">
        <v>1689</v>
      </c>
      <c r="AB51" s="11" t="s">
        <v>173</v>
      </c>
      <c r="AC51" s="15" t="n">
        <v>3.8508064516129</v>
      </c>
      <c r="AD51" s="15" t="n">
        <v>1.01641414141414</v>
      </c>
      <c r="AE51" s="21" t="n">
        <v>2.91587931873702</v>
      </c>
      <c r="AF51" s="16" t="s">
        <v>173</v>
      </c>
      <c r="AG51" s="16" t="s">
        <v>173</v>
      </c>
      <c r="AH51" s="16" t="s">
        <v>173</v>
      </c>
      <c r="AI51" s="16" t="s">
        <v>173</v>
      </c>
      <c r="AJ51" s="16" t="s">
        <v>173</v>
      </c>
      <c r="AK51" s="16" t="s">
        <v>173</v>
      </c>
      <c r="AL51" s="16" t="s">
        <v>173</v>
      </c>
      <c r="AM51" s="16" t="s">
        <v>173</v>
      </c>
      <c r="AN51" s="17" t="n">
        <v>0.130114462394411</v>
      </c>
      <c r="AO51" s="18" t="n">
        <v>0.00116041052528074</v>
      </c>
      <c r="AP51" s="16" t="n">
        <v>0.0680193365082871</v>
      </c>
      <c r="AQ51" s="17" t="n">
        <v>12.3561748034376</v>
      </c>
      <c r="AR51" s="16" t="n">
        <v>11.3866121559008</v>
      </c>
      <c r="AS51" s="19" t="n">
        <v>0.0266714082503556</v>
      </c>
      <c r="AT51" s="19" t="n">
        <v>0.0366998577524893</v>
      </c>
      <c r="AU51" s="19" t="n">
        <v>0.435277382645804</v>
      </c>
      <c r="AV51" s="19" t="n">
        <v>0</v>
      </c>
      <c r="AW51" s="19" t="n">
        <v>0.052275960170697</v>
      </c>
      <c r="AX51" s="24" t="n">
        <v>7.16873663563439</v>
      </c>
      <c r="AY51" s="24" t="n">
        <v>0.0437411095305832</v>
      </c>
      <c r="AZ51" s="19" t="n">
        <v>0.187126600284495</v>
      </c>
      <c r="BA51" s="19" t="n">
        <v>4.36984352773826</v>
      </c>
      <c r="BB51" s="19" t="n">
        <v>1.92588904694168</v>
      </c>
      <c r="BC51" s="19" t="n">
        <v>0.797155049786629</v>
      </c>
      <c r="BD51" s="19" t="n">
        <v>0.271834992887624</v>
      </c>
      <c r="BE51" s="19" t="n">
        <v>0.251564722617354</v>
      </c>
      <c r="BF51" s="20" t="n">
        <v>7.71966124445374</v>
      </c>
      <c r="BG51" s="20" t="n">
        <v>7.84715504978663</v>
      </c>
      <c r="BH51" s="20" t="n">
        <v>7.28438386180793</v>
      </c>
      <c r="BI51" s="20" t="n">
        <v>8.28243243243243</v>
      </c>
      <c r="BJ51" s="20" t="n">
        <v>16.4693524668333</v>
      </c>
      <c r="BK51" s="20" t="n">
        <v>15.5668162942404</v>
      </c>
      <c r="EV51" s="1" t="n">
        <v>0.0150428571428572</v>
      </c>
      <c r="EW51" s="1" t="n">
        <v>1.08308571428572</v>
      </c>
      <c r="EX51" s="1" t="n">
        <v>0.496414285714286</v>
      </c>
      <c r="EY51" s="1" t="n">
        <v>0.69197142857143</v>
      </c>
      <c r="EZ51" s="1" t="s">
        <v>225</v>
      </c>
      <c r="FA51" s="1" t="n">
        <v>30.8808367346939</v>
      </c>
      <c r="FB51" s="1" t="n">
        <v>357.3882</v>
      </c>
      <c r="FC51" s="1" t="n">
        <v>0.631800000000001</v>
      </c>
      <c r="FD51" s="1" t="n">
        <v>2.45628367346939</v>
      </c>
      <c r="FE51" s="1" t="n">
        <v>0.19125918367347</v>
      </c>
      <c r="FF51" s="1" t="n">
        <v>0.133236734693878</v>
      </c>
      <c r="FG51" s="1" t="s">
        <v>225</v>
      </c>
      <c r="FH51" s="1" t="n">
        <v>2.73135306122449</v>
      </c>
      <c r="FI51" s="1" t="n">
        <v>0.0472775510204082</v>
      </c>
      <c r="FJ51" s="1" t="n">
        <v>0.438391836734695</v>
      </c>
      <c r="FK51" s="1" t="n">
        <v>97.825848979592</v>
      </c>
      <c r="FL51" s="1" t="n">
        <v>0.585936477551021</v>
      </c>
    </row>
    <row r="52" customFormat="false" ht="12.8" hidden="false" customHeight="false" outlineLevel="0" collapsed="false">
      <c r="A52" s="11" t="s">
        <v>254</v>
      </c>
      <c r="B52" s="12" t="n">
        <v>43123</v>
      </c>
      <c r="C52" s="2" t="n">
        <v>1</v>
      </c>
      <c r="D52" s="11" t="s">
        <v>227</v>
      </c>
      <c r="E52" s="11" t="s">
        <v>170</v>
      </c>
      <c r="F52" s="11" t="n">
        <v>33.2</v>
      </c>
      <c r="G52" s="11" t="n">
        <v>379</v>
      </c>
      <c r="H52" s="11" t="n">
        <v>5.4</v>
      </c>
      <c r="I52" s="11" t="n">
        <v>1.42480211081794</v>
      </c>
      <c r="J52" s="13" t="n">
        <v>370</v>
      </c>
      <c r="K52" s="13" t="n">
        <v>1.01108454721776</v>
      </c>
      <c r="L52" s="13" t="n">
        <v>2.37467018469657</v>
      </c>
      <c r="M52" s="13" t="n">
        <v>0.0145945945945946</v>
      </c>
      <c r="N52" s="11" t="n">
        <v>9</v>
      </c>
      <c r="O52" s="11" t="s">
        <v>255</v>
      </c>
      <c r="P52" s="11" t="n">
        <v>63.9876640213472</v>
      </c>
      <c r="Q52" s="14" t="n">
        <v>0.166535782635223</v>
      </c>
      <c r="R52" s="15" t="n">
        <v>18.9232431264414</v>
      </c>
      <c r="S52" s="14" t="n">
        <v>27.77</v>
      </c>
      <c r="T52" s="15" t="n">
        <v>20.8392857142857</v>
      </c>
      <c r="U52" s="11" t="s">
        <v>173</v>
      </c>
      <c r="V52" s="11" t="s">
        <v>173</v>
      </c>
      <c r="W52" s="11" t="s">
        <v>173</v>
      </c>
      <c r="X52" s="11" t="s">
        <v>173</v>
      </c>
      <c r="Y52" s="11" t="s">
        <v>173</v>
      </c>
      <c r="Z52" s="15" t="n">
        <v>0</v>
      </c>
      <c r="AA52" s="11" t="n">
        <v>4195</v>
      </c>
      <c r="AB52" s="11" t="s">
        <v>173</v>
      </c>
      <c r="AC52" s="15" t="n">
        <v>2.79633620689655</v>
      </c>
      <c r="AD52" s="15" t="n">
        <v>0.84366391184573</v>
      </c>
      <c r="AE52" s="15" t="n">
        <v>1.4057446533371</v>
      </c>
      <c r="AF52" s="16" t="s">
        <v>173</v>
      </c>
      <c r="AG52" s="16" t="s">
        <v>173</v>
      </c>
      <c r="AH52" s="16" t="s">
        <v>173</v>
      </c>
      <c r="AI52" s="16" t="s">
        <v>173</v>
      </c>
      <c r="AJ52" s="16" t="s">
        <v>173</v>
      </c>
      <c r="AK52" s="16" t="s">
        <v>173</v>
      </c>
      <c r="AL52" s="16" t="s">
        <v>173</v>
      </c>
      <c r="AM52" s="16" t="s">
        <v>173</v>
      </c>
      <c r="AN52" s="17" t="n">
        <v>0.097543870663498</v>
      </c>
      <c r="AO52" s="18" t="n">
        <v>0.000904378836069596</v>
      </c>
      <c r="AP52" s="16" t="n">
        <v>0.0914825684422725</v>
      </c>
      <c r="AQ52" s="17" t="n">
        <v>8.07617480343756</v>
      </c>
      <c r="AR52" s="16" t="n">
        <v>7.12661215590079</v>
      </c>
      <c r="AS52" s="19" t="n">
        <v>0.0132389675270608</v>
      </c>
      <c r="AT52" s="19" t="n">
        <v>0.0129891756869276</v>
      </c>
      <c r="AU52" s="19" t="n">
        <v>0.424895920066611</v>
      </c>
      <c r="AV52" s="19" t="n">
        <v>0.0104912572855953</v>
      </c>
      <c r="AW52" s="19" t="n">
        <v>0.0676935886761033</v>
      </c>
      <c r="AX52" s="19" t="n">
        <v>1.09208992506245</v>
      </c>
      <c r="AY52" s="19" t="n">
        <v>0.0828100980517446</v>
      </c>
      <c r="AZ52" s="19" t="n">
        <v>0.193613655287261</v>
      </c>
      <c r="BA52" s="19" t="n">
        <v>5.4804329725229</v>
      </c>
      <c r="BB52" s="19" t="n">
        <v>2.15557458138206</v>
      </c>
      <c r="BC52" s="19" t="n">
        <v>0.709408825978351</v>
      </c>
      <c r="BD52" s="19" t="n">
        <v>0.245845129059117</v>
      </c>
      <c r="BE52" s="19" t="n">
        <v>0.272522897585346</v>
      </c>
      <c r="BF52" s="20" t="n">
        <v>1.62139883430475</v>
      </c>
      <c r="BG52" s="20" t="n">
        <v>9.14020815986678</v>
      </c>
      <c r="BH52" s="20" t="n">
        <v>1.19650291423814</v>
      </c>
      <c r="BI52" s="20" t="n">
        <v>9.56510407993339</v>
      </c>
      <c r="BJ52" s="20" t="n">
        <v>2.57025279247502</v>
      </c>
      <c r="BK52" s="20" t="n">
        <v>10.7616069941715</v>
      </c>
    </row>
    <row r="53" customFormat="false" ht="12.8" hidden="false" customHeight="false" outlineLevel="0" collapsed="false">
      <c r="A53" s="11" t="s">
        <v>256</v>
      </c>
      <c r="B53" s="12" t="n">
        <v>43123</v>
      </c>
      <c r="C53" s="2" t="n">
        <v>1</v>
      </c>
      <c r="D53" s="11" t="s">
        <v>227</v>
      </c>
      <c r="E53" s="11" t="s">
        <v>175</v>
      </c>
      <c r="F53" s="11" t="n">
        <v>26.7</v>
      </c>
      <c r="G53" s="11" t="n">
        <v>218.78</v>
      </c>
      <c r="H53" s="11" t="n">
        <v>4.1</v>
      </c>
      <c r="I53" s="11" t="n">
        <v>1.87402870463479</v>
      </c>
      <c r="J53" s="13" t="n">
        <v>192.58</v>
      </c>
      <c r="K53" s="13" t="n">
        <v>1.01175975008725</v>
      </c>
      <c r="L53" s="13" t="n">
        <v>11.9755005027882</v>
      </c>
      <c r="M53" s="13" t="n">
        <v>0.0212898535673486</v>
      </c>
      <c r="N53" s="11" t="n">
        <v>26.2</v>
      </c>
      <c r="O53" s="11" t="s">
        <v>257</v>
      </c>
      <c r="P53" s="11" t="s">
        <v>173</v>
      </c>
      <c r="Q53" s="14" t="n">
        <v>0.136517930219514</v>
      </c>
      <c r="R53" s="15" t="n">
        <v>5.06442579556908</v>
      </c>
      <c r="S53" s="14" t="n">
        <v>25.74</v>
      </c>
      <c r="T53" s="11" t="s">
        <v>173</v>
      </c>
      <c r="U53" s="11" t="s">
        <v>173</v>
      </c>
      <c r="V53" s="11" t="s">
        <v>173</v>
      </c>
      <c r="W53" s="11" t="s">
        <v>173</v>
      </c>
      <c r="X53" s="11" t="s">
        <v>173</v>
      </c>
      <c r="Y53" s="11" t="s">
        <v>173</v>
      </c>
      <c r="Z53" s="15" t="n">
        <v>0</v>
      </c>
      <c r="AA53" s="11" t="s">
        <v>173</v>
      </c>
      <c r="AB53" s="11" t="n">
        <v>920</v>
      </c>
      <c r="AC53" s="15" t="n">
        <v>4.37229437229437</v>
      </c>
      <c r="AD53" s="15" t="n">
        <v>1.60296143250689</v>
      </c>
      <c r="AE53" s="15" t="n">
        <v>0.817861974771282</v>
      </c>
      <c r="AF53" s="16" t="n">
        <v>2</v>
      </c>
      <c r="AG53" s="16" t="n">
        <v>93</v>
      </c>
      <c r="AH53" s="16" t="n">
        <v>26</v>
      </c>
      <c r="AI53" s="16" t="n">
        <v>15</v>
      </c>
      <c r="AJ53" s="16" t="n">
        <v>52</v>
      </c>
      <c r="AK53" s="16" t="n">
        <v>0</v>
      </c>
      <c r="AL53" s="16" t="n">
        <v>0</v>
      </c>
      <c r="AM53" s="17" t="n">
        <v>2.27956989247312</v>
      </c>
      <c r="AN53" s="17" t="n">
        <v>0.0825339316557994</v>
      </c>
      <c r="AO53" s="18" t="n">
        <v>0.00102589989494609</v>
      </c>
      <c r="AP53" s="16" t="n">
        <v>0.0585386789597004</v>
      </c>
      <c r="AQ53" s="17" t="n">
        <v>13.1161748034376</v>
      </c>
      <c r="AR53" s="16" t="n">
        <v>11.3466121559008</v>
      </c>
      <c r="AS53" s="19" t="n">
        <v>0.028698824483178</v>
      </c>
      <c r="AT53" s="19" t="n">
        <v>0.0454803404945278</v>
      </c>
      <c r="AU53" s="19" t="n">
        <v>0.383299554114309</v>
      </c>
      <c r="AV53" s="19" t="n">
        <v>0</v>
      </c>
      <c r="AW53" s="19" t="n">
        <v>0.0194568301580867</v>
      </c>
      <c r="AX53" s="19" t="n">
        <v>1.06793676530199</v>
      </c>
      <c r="AY53" s="19" t="n">
        <v>0.090446466992472</v>
      </c>
      <c r="AZ53" s="19" t="n">
        <v>0.20471017430077</v>
      </c>
      <c r="BA53" s="19" t="n">
        <v>4.65261451155249</v>
      </c>
      <c r="BB53" s="19" t="n">
        <v>1.89633910252516</v>
      </c>
      <c r="BC53" s="19" t="n">
        <v>0.811106607215241</v>
      </c>
      <c r="BD53" s="19" t="n">
        <v>0.155605999189299</v>
      </c>
      <c r="BE53" s="19" t="n">
        <v>0.287717875962708</v>
      </c>
      <c r="BF53" s="20" t="n">
        <v>1.54487231455209</v>
      </c>
      <c r="BG53" s="20" t="n">
        <v>8.09854073773814</v>
      </c>
      <c r="BH53" s="20" t="n">
        <v>1.16157276043778</v>
      </c>
      <c r="BI53" s="20" t="n">
        <v>8.48184029185245</v>
      </c>
      <c r="BJ53" s="20" t="n">
        <v>2.78616751269036</v>
      </c>
      <c r="BK53" s="20" t="n">
        <v>9.64341305229023</v>
      </c>
    </row>
    <row r="54" customFormat="false" ht="12.8" hidden="false" customHeight="false" outlineLevel="0" collapsed="false">
      <c r="A54" s="11" t="s">
        <v>258</v>
      </c>
      <c r="B54" s="12" t="n">
        <v>43123</v>
      </c>
      <c r="C54" s="2" t="n">
        <v>1</v>
      </c>
      <c r="D54" s="11" t="s">
        <v>227</v>
      </c>
      <c r="E54" s="11" t="s">
        <v>175</v>
      </c>
      <c r="F54" s="11" t="n">
        <v>33.8</v>
      </c>
      <c r="G54" s="11" t="n">
        <v>467.27</v>
      </c>
      <c r="H54" s="11" t="n">
        <v>8.2</v>
      </c>
      <c r="I54" s="11" t="n">
        <v>1.75487405568515</v>
      </c>
      <c r="J54" s="13" t="n">
        <v>397.57</v>
      </c>
      <c r="K54" s="13" t="n">
        <v>1.02958807775489</v>
      </c>
      <c r="L54" s="13" t="n">
        <v>14.9164294733238</v>
      </c>
      <c r="M54" s="13" t="n">
        <v>0.0206252986895389</v>
      </c>
      <c r="N54" s="11" t="n">
        <v>69.7</v>
      </c>
      <c r="O54" s="11" t="s">
        <v>222</v>
      </c>
      <c r="P54" s="11" t="n">
        <v>60.1415850069773</v>
      </c>
      <c r="Q54" s="14" t="n">
        <v>0.120521829539722</v>
      </c>
      <c r="R54" s="15" t="n">
        <v>2.43985213425886</v>
      </c>
      <c r="S54" s="14" t="n">
        <v>34.37</v>
      </c>
      <c r="T54" s="11" t="s">
        <v>173</v>
      </c>
      <c r="U54" s="11" t="s">
        <v>173</v>
      </c>
      <c r="V54" s="11" t="s">
        <v>173</v>
      </c>
      <c r="W54" s="11" t="s">
        <v>173</v>
      </c>
      <c r="X54" s="11" t="s">
        <v>173</v>
      </c>
      <c r="Y54" s="11" t="s">
        <v>173</v>
      </c>
      <c r="Z54" s="15" t="n">
        <v>0</v>
      </c>
      <c r="AA54" s="11" t="s">
        <v>173</v>
      </c>
      <c r="AB54" s="11" t="n">
        <v>4700</v>
      </c>
      <c r="AC54" s="15" t="n">
        <v>4.13990825688073</v>
      </c>
      <c r="AD54" s="15" t="n">
        <v>0.349517906336088</v>
      </c>
      <c r="AE54" s="15" t="n">
        <v>0.797963687461589</v>
      </c>
      <c r="AF54" s="16" t="n">
        <v>2</v>
      </c>
      <c r="AG54" s="16" t="n">
        <v>115</v>
      </c>
      <c r="AH54" s="16" t="n">
        <v>25</v>
      </c>
      <c r="AI54" s="16" t="n">
        <v>13</v>
      </c>
      <c r="AJ54" s="16" t="n">
        <v>77</v>
      </c>
      <c r="AK54" s="16" t="n">
        <v>0</v>
      </c>
      <c r="AL54" s="16" t="n">
        <v>0</v>
      </c>
      <c r="AM54" s="17" t="n">
        <v>2.45217391304348</v>
      </c>
      <c r="AN54" s="17" t="n">
        <v>0.0382293502013755</v>
      </c>
      <c r="AO54" s="18" t="n">
        <v>0.000791705080764869</v>
      </c>
      <c r="AP54" s="16" t="n">
        <v>0.0910738331626348</v>
      </c>
      <c r="AQ54" s="17" t="n">
        <v>12.4761748034376</v>
      </c>
      <c r="AR54" s="16" t="n">
        <v>7.30661215590079</v>
      </c>
      <c r="AS54" s="19" t="n">
        <v>0.021403644823575</v>
      </c>
      <c r="AT54" s="19" t="n">
        <v>0.0383869716944552</v>
      </c>
      <c r="AU54" s="19" t="n">
        <v>0.356882512601784</v>
      </c>
      <c r="AV54" s="19" t="n">
        <v>0</v>
      </c>
      <c r="AW54" s="19" t="n">
        <v>0.081426909654905</v>
      </c>
      <c r="AX54" s="19" t="n">
        <v>0.803799922450562</v>
      </c>
      <c r="AY54" s="19" t="n">
        <v>0.090891051909123</v>
      </c>
      <c r="AZ54" s="19" t="n">
        <v>0.168483908491663</v>
      </c>
      <c r="BA54" s="19" t="n">
        <v>4.59480418766964</v>
      </c>
      <c r="BB54" s="19" t="n">
        <v>1.78658083641969</v>
      </c>
      <c r="BC54" s="19" t="n">
        <v>0.610701822411788</v>
      </c>
      <c r="BD54" s="19" t="n">
        <v>0.264288483908492</v>
      </c>
      <c r="BE54" s="19" t="n">
        <v>0.233811554866227</v>
      </c>
      <c r="BF54" s="20" t="n">
        <v>1.30189996122528</v>
      </c>
      <c r="BG54" s="20" t="n">
        <v>7.74956184567662</v>
      </c>
      <c r="BH54" s="20" t="n">
        <v>0.945017448623498</v>
      </c>
      <c r="BI54" s="20" t="n">
        <v>8.1064443582784</v>
      </c>
      <c r="BJ54" s="20" t="n">
        <v>2.2522816166884</v>
      </c>
      <c r="BK54" s="20" t="n">
        <v>9.0514618069019</v>
      </c>
      <c r="BL54" s="22" t="n">
        <v>9.06658514738939</v>
      </c>
      <c r="BM54" s="22" t="s">
        <v>224</v>
      </c>
      <c r="BN54" s="22" t="n">
        <v>6.15611393710113</v>
      </c>
      <c r="BO54" s="22" t="s">
        <v>224</v>
      </c>
      <c r="BP54" s="22" t="n">
        <v>3.71905619178732</v>
      </c>
      <c r="BQ54" s="22" t="n">
        <v>1.63064637935643</v>
      </c>
      <c r="BR54" s="22" t="n">
        <v>2.7652736921051</v>
      </c>
      <c r="BS54" s="22" t="s">
        <v>224</v>
      </c>
      <c r="BT54" s="22" t="s">
        <v>223</v>
      </c>
      <c r="BU54" s="22" t="s">
        <v>223</v>
      </c>
      <c r="BV54" s="22" t="s">
        <v>223</v>
      </c>
      <c r="BW54" s="22" t="s">
        <v>223</v>
      </c>
      <c r="BX54" s="22" t="s">
        <v>224</v>
      </c>
      <c r="BY54" s="22" t="s">
        <v>223</v>
      </c>
      <c r="BZ54" s="22" t="s">
        <v>223</v>
      </c>
      <c r="CA54" s="22" t="s">
        <v>223</v>
      </c>
      <c r="CB54" s="22" t="s">
        <v>223</v>
      </c>
      <c r="CC54" s="22" t="s">
        <v>223</v>
      </c>
      <c r="CD54" s="22" t="s">
        <v>223</v>
      </c>
      <c r="CE54" s="22" t="s">
        <v>223</v>
      </c>
      <c r="CF54" s="22" t="s">
        <v>223</v>
      </c>
      <c r="CG54" s="22" t="s">
        <v>223</v>
      </c>
      <c r="CH54" s="22" t="s">
        <v>223</v>
      </c>
      <c r="CI54" s="22" t="s">
        <v>223</v>
      </c>
      <c r="CJ54" s="23" t="n">
        <f aca="false">SUM(BL54:CI54)</f>
        <v>23.3376753477394</v>
      </c>
      <c r="CK54" s="22" t="s">
        <v>223</v>
      </c>
      <c r="CL54" s="22" t="s">
        <v>224</v>
      </c>
      <c r="CM54" s="22" t="n">
        <v>7.95282454384069</v>
      </c>
      <c r="CN54" s="22" t="n">
        <v>16.1195328569811</v>
      </c>
      <c r="CO54" s="22" t="n">
        <v>21.2140529635335</v>
      </c>
      <c r="CP54" s="22" t="s">
        <v>224</v>
      </c>
      <c r="CQ54" s="22" t="n">
        <v>39.1498589671292</v>
      </c>
      <c r="CR54" s="22" t="n">
        <v>121.088209318133</v>
      </c>
      <c r="CS54" s="22" t="n">
        <v>151.104970502298</v>
      </c>
      <c r="CT54" s="22" t="n">
        <v>14.5840908383496</v>
      </c>
      <c r="CU54" s="22" t="n">
        <v>404.985439384209</v>
      </c>
      <c r="CV54" s="22" t="n">
        <v>52.946666256288</v>
      </c>
      <c r="CW54" s="22" t="n">
        <v>401.883690006255</v>
      </c>
      <c r="CX54" s="22" t="n">
        <v>257.963388315373</v>
      </c>
      <c r="CY54" s="22" t="n">
        <v>56.8596089543918</v>
      </c>
      <c r="CZ54" s="22" t="n">
        <v>85.2083375718836</v>
      </c>
      <c r="DA54" s="22" t="n">
        <v>57.3760600070912</v>
      </c>
      <c r="DB54" s="22" t="n">
        <v>807.376885980997</v>
      </c>
      <c r="DC54" s="22" t="n">
        <v>366.839790797329</v>
      </c>
      <c r="DD54" s="22" t="n">
        <v>1025.29358155675</v>
      </c>
      <c r="DE54" s="22" t="n">
        <v>29.0064646803994</v>
      </c>
      <c r="DF54" s="22" t="s">
        <v>223</v>
      </c>
      <c r="DG54" s="22" t="n">
        <v>87.0320010113398</v>
      </c>
      <c r="DH54" s="22" t="n">
        <v>275.367527957478</v>
      </c>
      <c r="DI54" s="22" t="n">
        <v>247.67479651046</v>
      </c>
      <c r="DJ54" s="22" t="n">
        <v>34.4183326560347</v>
      </c>
      <c r="DK54" s="23" t="n">
        <f aca="false">SUM(CK54:DJ54)</f>
        <v>4561.44611163655</v>
      </c>
      <c r="DL54" s="22" t="s">
        <v>223</v>
      </c>
      <c r="DM54" s="22" t="n">
        <v>113.359267175084</v>
      </c>
      <c r="DN54" s="22" t="s">
        <v>223</v>
      </c>
      <c r="DO54" s="22" t="s">
        <v>240</v>
      </c>
      <c r="DP54" s="22" t="s">
        <v>240</v>
      </c>
      <c r="DQ54" s="22" t="s">
        <v>240</v>
      </c>
      <c r="DR54" s="22" t="s">
        <v>240</v>
      </c>
      <c r="DS54" s="22" t="s">
        <v>240</v>
      </c>
      <c r="DT54" s="22" t="s">
        <v>240</v>
      </c>
      <c r="DU54" s="22" t="s">
        <v>223</v>
      </c>
      <c r="DV54" s="22" t="n">
        <v>10.9606737303955</v>
      </c>
      <c r="DW54" s="22" t="n">
        <v>49.6432053560669</v>
      </c>
      <c r="DX54" s="22" t="s">
        <v>240</v>
      </c>
      <c r="DY54" s="22" t="s">
        <v>240</v>
      </c>
      <c r="DZ54" s="22" t="s">
        <v>240</v>
      </c>
      <c r="EA54" s="22" t="s">
        <v>240</v>
      </c>
      <c r="EB54" s="22" t="s">
        <v>223</v>
      </c>
      <c r="EC54" s="22" t="s">
        <v>240</v>
      </c>
      <c r="ED54" s="22" t="s">
        <v>240</v>
      </c>
      <c r="EE54" s="22" t="s">
        <v>240</v>
      </c>
      <c r="EF54" s="22" t="s">
        <v>223</v>
      </c>
      <c r="EG54" s="22" t="s">
        <v>223</v>
      </c>
      <c r="EH54" s="22" t="s">
        <v>223</v>
      </c>
      <c r="EI54" s="22" t="n">
        <v>1.86583158096448</v>
      </c>
      <c r="EJ54" s="22" t="n">
        <v>2.92133928799658</v>
      </c>
      <c r="EK54" s="22" t="s">
        <v>240</v>
      </c>
      <c r="EL54" s="22" t="s">
        <v>240</v>
      </c>
      <c r="EM54" s="23" t="n">
        <f aca="false">SUM(DL54:EL54)</f>
        <v>178.750317130507</v>
      </c>
      <c r="EN54" s="22" t="s">
        <v>223</v>
      </c>
      <c r="EO54" s="22" t="s">
        <v>223</v>
      </c>
      <c r="EP54" s="22" t="s">
        <v>223</v>
      </c>
      <c r="EQ54" s="22" t="s">
        <v>223</v>
      </c>
      <c r="ER54" s="22" t="s">
        <v>223</v>
      </c>
      <c r="ES54" s="22" t="s">
        <v>223</v>
      </c>
      <c r="ET54" s="22" t="s">
        <v>223</v>
      </c>
      <c r="EU54" s="10" t="n">
        <f aca="false">SUM(EN54:ET54)</f>
        <v>0</v>
      </c>
      <c r="EV54" s="1" t="n">
        <v>1.40479738727349</v>
      </c>
      <c r="EW54" s="1" t="n">
        <v>0.0131858238516645</v>
      </c>
      <c r="EX54" s="1" t="s">
        <v>225</v>
      </c>
      <c r="EY54" s="1" t="n">
        <v>0.116643826380109</v>
      </c>
      <c r="EZ54" s="1" t="n">
        <v>90.8782194268857</v>
      </c>
      <c r="FA54" s="1" t="n">
        <v>679.209393805309</v>
      </c>
      <c r="FB54" s="1" t="n">
        <v>0.758184871470711</v>
      </c>
      <c r="FC54" s="1" t="n">
        <v>7.41449018120521</v>
      </c>
      <c r="FD54" s="1" t="n">
        <v>0.192715887062789</v>
      </c>
      <c r="FE54" s="1" t="n">
        <v>0.0278930889169827</v>
      </c>
      <c r="FF54" s="1" t="s">
        <v>225</v>
      </c>
      <c r="FG54" s="1" t="n">
        <v>1.67358533501896</v>
      </c>
      <c r="FH54" s="1" t="s">
        <v>225</v>
      </c>
      <c r="FI54" s="1" t="n">
        <v>0.994008259587019</v>
      </c>
      <c r="FJ54" s="1" t="n">
        <v>219.969970670038</v>
      </c>
      <c r="FK54" s="1" t="n">
        <v>1.00795480404551</v>
      </c>
    </row>
    <row r="55" customFormat="false" ht="12.8" hidden="false" customHeight="false" outlineLevel="0" collapsed="false">
      <c r="A55" s="11" t="s">
        <v>259</v>
      </c>
      <c r="B55" s="12" t="n">
        <v>43123</v>
      </c>
      <c r="C55" s="2" t="n">
        <v>1</v>
      </c>
      <c r="D55" s="11" t="s">
        <v>227</v>
      </c>
      <c r="E55" s="11" t="s">
        <v>170</v>
      </c>
      <c r="F55" s="11" t="n">
        <v>28.6</v>
      </c>
      <c r="G55" s="11" t="n">
        <v>246.94</v>
      </c>
      <c r="H55" s="11" t="n">
        <v>3.5</v>
      </c>
      <c r="I55" s="11" t="n">
        <v>1.41734834372722</v>
      </c>
      <c r="J55" s="13" t="n">
        <v>241.94</v>
      </c>
      <c r="K55" s="13" t="n">
        <v>1.03421201029886</v>
      </c>
      <c r="L55" s="13" t="n">
        <v>2.02478334818174</v>
      </c>
      <c r="M55" s="13" t="n">
        <v>0.014466396627263</v>
      </c>
      <c r="N55" s="11" t="n">
        <v>5</v>
      </c>
      <c r="O55" s="11" t="s">
        <v>222</v>
      </c>
      <c r="P55" s="11" t="n">
        <v>69.1349707778893</v>
      </c>
      <c r="Q55" s="14" t="n">
        <v>0.269440536649483</v>
      </c>
      <c r="R55" s="15" t="n">
        <v>33.7512878572475</v>
      </c>
      <c r="S55" s="14" t="n">
        <v>32.98</v>
      </c>
      <c r="T55" s="15" t="n">
        <v>19.3214285714286</v>
      </c>
      <c r="U55" s="11" t="s">
        <v>182</v>
      </c>
      <c r="V55" s="11" t="s">
        <v>229</v>
      </c>
      <c r="W55" s="11" t="s">
        <v>173</v>
      </c>
      <c r="X55" s="11" t="s">
        <v>173</v>
      </c>
      <c r="Y55" s="11" t="s">
        <v>260</v>
      </c>
      <c r="Z55" s="15" t="n">
        <v>5</v>
      </c>
      <c r="AA55" s="11" t="n">
        <v>4393</v>
      </c>
      <c r="AB55" s="11" t="s">
        <v>173</v>
      </c>
      <c r="AC55" s="15" t="n">
        <v>5.22836538461538</v>
      </c>
      <c r="AD55" s="15" t="n">
        <v>0.630739210284665</v>
      </c>
      <c r="AE55" s="15" t="n">
        <v>1.6063357715429</v>
      </c>
      <c r="AF55" s="16" t="s">
        <v>173</v>
      </c>
      <c r="AG55" s="16" t="s">
        <v>173</v>
      </c>
      <c r="AH55" s="16" t="s">
        <v>173</v>
      </c>
      <c r="AI55" s="16" t="s">
        <v>173</v>
      </c>
      <c r="AJ55" s="16" t="s">
        <v>173</v>
      </c>
      <c r="AK55" s="16" t="s">
        <v>173</v>
      </c>
      <c r="AL55" s="16" t="s">
        <v>173</v>
      </c>
      <c r="AM55" s="16" t="s">
        <v>173</v>
      </c>
      <c r="AN55" s="17" t="n">
        <v>0.144565669684583</v>
      </c>
      <c r="AO55" s="18" t="n">
        <v>0.00148534877231018</v>
      </c>
      <c r="AP55" s="16" t="n">
        <v>0.151590558055485</v>
      </c>
      <c r="AQ55" s="17" t="n">
        <v>10.6761748034376</v>
      </c>
      <c r="AR55" s="16" t="n">
        <v>9.46661215590079</v>
      </c>
      <c r="AS55" s="19" t="n">
        <v>0.0126262626262626</v>
      </c>
      <c r="AT55" s="19" t="n">
        <v>0.0262626262626263</v>
      </c>
      <c r="AU55" s="19" t="n">
        <v>0.431060606060606</v>
      </c>
      <c r="AV55" s="19" t="n">
        <v>0</v>
      </c>
      <c r="AW55" s="19" t="n">
        <v>0.101010101010101</v>
      </c>
      <c r="AX55" s="19" t="n">
        <v>13.5728566088408</v>
      </c>
      <c r="AY55" s="19" t="n">
        <v>0</v>
      </c>
      <c r="AZ55" s="19" t="n">
        <v>0.392676767676768</v>
      </c>
      <c r="BA55" s="19" t="n">
        <v>4.7449494949495</v>
      </c>
      <c r="BB55" s="19" t="n">
        <v>2.29393939393939</v>
      </c>
      <c r="BC55" s="19" t="n">
        <v>0.541414141414142</v>
      </c>
      <c r="BD55" s="19" t="n">
        <v>0.205252525252525</v>
      </c>
      <c r="BE55" s="19" t="n">
        <v>0.341414141414141</v>
      </c>
      <c r="BF55" s="20" t="n">
        <v>14.1438162048004</v>
      </c>
      <c r="BG55" s="20" t="n">
        <v>8.51964646464647</v>
      </c>
      <c r="BH55" s="20" t="n">
        <v>13.7127555987398</v>
      </c>
      <c r="BI55" s="20" t="n">
        <v>8.95070707070707</v>
      </c>
      <c r="BJ55" s="20" t="n">
        <v>31.4871190222668</v>
      </c>
      <c r="BK55" s="20" t="n">
        <v>22.6634626694468</v>
      </c>
      <c r="BL55" s="22" t="n">
        <v>12.2556606982385</v>
      </c>
      <c r="BM55" s="22" t="n">
        <v>17.8048841233702</v>
      </c>
      <c r="BN55" s="22" t="n">
        <v>7.84810811448934</v>
      </c>
      <c r="BO55" s="22" t="n">
        <v>4.475645755488</v>
      </c>
      <c r="BP55" s="22" t="n">
        <v>8.12307130254355</v>
      </c>
      <c r="BQ55" s="22" t="n">
        <v>4.34316012786565</v>
      </c>
      <c r="BR55" s="22" t="n">
        <v>6.77897130387211</v>
      </c>
      <c r="BS55" s="22" t="n">
        <v>6.78082166179979</v>
      </c>
      <c r="BT55" s="22" t="n">
        <v>1.533206578881</v>
      </c>
      <c r="BU55" s="22" t="s">
        <v>224</v>
      </c>
      <c r="BV55" s="22" t="s">
        <v>224</v>
      </c>
      <c r="BW55" s="22" t="s">
        <v>223</v>
      </c>
      <c r="BX55" s="22" t="s">
        <v>223</v>
      </c>
      <c r="BY55" s="22" t="s">
        <v>223</v>
      </c>
      <c r="BZ55" s="22" t="s">
        <v>223</v>
      </c>
      <c r="CA55" s="22" t="s">
        <v>223</v>
      </c>
      <c r="CB55" s="22" t="s">
        <v>223</v>
      </c>
      <c r="CC55" s="22" t="s">
        <v>223</v>
      </c>
      <c r="CD55" s="22" t="s">
        <v>223</v>
      </c>
      <c r="CE55" s="22" t="s">
        <v>223</v>
      </c>
      <c r="CF55" s="22" t="s">
        <v>223</v>
      </c>
      <c r="CG55" s="22" t="s">
        <v>223</v>
      </c>
      <c r="CH55" s="22" t="s">
        <v>223</v>
      </c>
      <c r="CI55" s="22" t="s">
        <v>223</v>
      </c>
      <c r="CJ55" s="23" t="n">
        <f aca="false">SUM(BL55:CI55)</f>
        <v>69.9435296665481</v>
      </c>
      <c r="CK55" s="22" t="s">
        <v>223</v>
      </c>
      <c r="CL55" s="22" t="s">
        <v>224</v>
      </c>
      <c r="CM55" s="22" t="n">
        <v>5.8430602640483</v>
      </c>
      <c r="CN55" s="22" t="n">
        <v>8.2525963574816</v>
      </c>
      <c r="CO55" s="22" t="n">
        <v>14.1744818692493</v>
      </c>
      <c r="CP55" s="22" t="s">
        <v>223</v>
      </c>
      <c r="CQ55" s="22" t="s">
        <v>223</v>
      </c>
      <c r="CR55" s="22" t="n">
        <v>104.016390618552</v>
      </c>
      <c r="CS55" s="22" t="n">
        <v>131.043828725097</v>
      </c>
      <c r="CT55" s="22" t="n">
        <v>5.53664099122342</v>
      </c>
      <c r="CU55" s="22" t="n">
        <v>420.830234138001</v>
      </c>
      <c r="CV55" s="22" t="n">
        <v>57.7252461984489</v>
      </c>
      <c r="CW55" s="22" t="n">
        <v>217.414836073646</v>
      </c>
      <c r="CX55" s="22" t="n">
        <v>292.753639385742</v>
      </c>
      <c r="CY55" s="22" t="n">
        <v>77.316095793622</v>
      </c>
      <c r="CZ55" s="22" t="n">
        <v>92.7184751836841</v>
      </c>
      <c r="DA55" s="22" t="n">
        <v>54.2413922922008</v>
      </c>
      <c r="DB55" s="22" t="n">
        <v>946.599077285713</v>
      </c>
      <c r="DC55" s="22" t="n">
        <v>397.106055003962</v>
      </c>
      <c r="DD55" s="22" t="n">
        <v>1137.53677170051</v>
      </c>
      <c r="DE55" s="22" t="n">
        <v>35.5949653833189</v>
      </c>
      <c r="DF55" s="22" t="n">
        <v>3.78139146102005</v>
      </c>
      <c r="DG55" s="22" t="n">
        <v>110.968925496041</v>
      </c>
      <c r="DH55" s="22" t="n">
        <v>307.236760957329</v>
      </c>
      <c r="DI55" s="22" t="n">
        <v>310.400873013673</v>
      </c>
      <c r="DJ55" s="22" t="n">
        <v>50.3341764920981</v>
      </c>
      <c r="DK55" s="23" t="n">
        <f aca="false">SUM(CK55:DJ55)</f>
        <v>4781.42591468466</v>
      </c>
      <c r="DL55" s="22" t="s">
        <v>223</v>
      </c>
      <c r="DM55" s="22" t="n">
        <v>75.6156168580782</v>
      </c>
      <c r="DN55" s="22" t="s">
        <v>223</v>
      </c>
      <c r="DO55" s="22" t="s">
        <v>240</v>
      </c>
      <c r="DP55" s="22" t="s">
        <v>240</v>
      </c>
      <c r="DQ55" s="22" t="s">
        <v>240</v>
      </c>
      <c r="DR55" s="22" t="s">
        <v>240</v>
      </c>
      <c r="DS55" s="22" t="s">
        <v>240</v>
      </c>
      <c r="DT55" s="22" t="s">
        <v>240</v>
      </c>
      <c r="DU55" s="22" t="s">
        <v>223</v>
      </c>
      <c r="DV55" s="22" t="s">
        <v>224</v>
      </c>
      <c r="DW55" s="22" t="n">
        <v>25.6977708997095</v>
      </c>
      <c r="DX55" s="22" t="s">
        <v>240</v>
      </c>
      <c r="DY55" s="22" t="s">
        <v>240</v>
      </c>
      <c r="DZ55" s="22" t="s">
        <v>240</v>
      </c>
      <c r="EA55" s="22" t="s">
        <v>240</v>
      </c>
      <c r="EB55" s="22" t="s">
        <v>223</v>
      </c>
      <c r="EC55" s="22" t="s">
        <v>240</v>
      </c>
      <c r="ED55" s="22" t="s">
        <v>240</v>
      </c>
      <c r="EE55" s="22" t="s">
        <v>240</v>
      </c>
      <c r="EF55" s="22" t="s">
        <v>223</v>
      </c>
      <c r="EG55" s="22" t="s">
        <v>223</v>
      </c>
      <c r="EH55" s="22" t="s">
        <v>223</v>
      </c>
      <c r="EI55" s="22" t="n">
        <v>2.24781481055351</v>
      </c>
      <c r="EJ55" s="22" t="n">
        <v>5.06665007759106</v>
      </c>
      <c r="EK55" s="22" t="s">
        <v>240</v>
      </c>
      <c r="EL55" s="22" t="s">
        <v>240</v>
      </c>
      <c r="EM55" s="23" t="n">
        <f aca="false">SUM(DL55:EL55)</f>
        <v>108.627852645932</v>
      </c>
      <c r="EN55" s="22" t="s">
        <v>223</v>
      </c>
      <c r="EO55" s="22" t="s">
        <v>223</v>
      </c>
      <c r="EP55" s="22" t="s">
        <v>223</v>
      </c>
      <c r="EQ55" s="22" t="s">
        <v>223</v>
      </c>
      <c r="ER55" s="22" t="s">
        <v>223</v>
      </c>
      <c r="ES55" s="22" t="s">
        <v>223</v>
      </c>
      <c r="ET55" s="22" t="s">
        <v>223</v>
      </c>
      <c r="EU55" s="10" t="n">
        <f aca="false">SUM(EN55:ET55)</f>
        <v>0</v>
      </c>
      <c r="EV55" s="1" t="n">
        <v>1.83604352331607</v>
      </c>
      <c r="EW55" s="1" t="n">
        <v>0.101115440414508</v>
      </c>
      <c r="EX55" s="1" t="s">
        <v>225</v>
      </c>
      <c r="EY55" s="1" t="s">
        <v>225</v>
      </c>
      <c r="EZ55" s="1" t="n">
        <v>12.3134658031088</v>
      </c>
      <c r="FA55" s="1" t="n">
        <v>335.284165284975</v>
      </c>
      <c r="FB55" s="1" t="n">
        <v>0.0159655958549223</v>
      </c>
      <c r="FC55" s="1" t="n">
        <v>2.57445233160622</v>
      </c>
      <c r="FD55" s="1" t="s">
        <v>225</v>
      </c>
      <c r="FE55" s="1" t="n">
        <v>0.0997849740932645</v>
      </c>
      <c r="FF55" s="1" t="s">
        <v>225</v>
      </c>
      <c r="FG55" s="1" t="n">
        <v>1.11093937823834</v>
      </c>
      <c r="FH55" s="1" t="n">
        <v>0.64527616580311</v>
      </c>
      <c r="FI55" s="1" t="s">
        <v>225</v>
      </c>
      <c r="FJ55" s="1" t="n">
        <v>122.236593264249</v>
      </c>
      <c r="FK55" s="1" t="n">
        <v>0.611409145595856</v>
      </c>
    </row>
    <row r="56" customFormat="false" ht="12.8" hidden="false" customHeight="false" outlineLevel="0" collapsed="false">
      <c r="A56" s="11" t="s">
        <v>261</v>
      </c>
      <c r="B56" s="12" t="n">
        <v>43123</v>
      </c>
      <c r="C56" s="2" t="n">
        <v>1</v>
      </c>
      <c r="D56" s="11" t="s">
        <v>227</v>
      </c>
      <c r="E56" s="11" t="s">
        <v>175</v>
      </c>
      <c r="F56" s="11" t="n">
        <v>28.6</v>
      </c>
      <c r="G56" s="11" t="n">
        <v>265.54</v>
      </c>
      <c r="H56" s="11" t="n">
        <v>5.3</v>
      </c>
      <c r="I56" s="11" t="n">
        <v>1.99593281614823</v>
      </c>
      <c r="J56" s="13" t="n">
        <v>245.04</v>
      </c>
      <c r="K56" s="13" t="n">
        <v>1.04746346616365</v>
      </c>
      <c r="L56" s="13" t="n">
        <v>7.72011749642238</v>
      </c>
      <c r="M56" s="13" t="n">
        <v>0.0216291217760366</v>
      </c>
      <c r="N56" s="11" t="n">
        <v>20.5</v>
      </c>
      <c r="O56" s="11" t="s">
        <v>262</v>
      </c>
      <c r="P56" s="11" t="s">
        <v>173</v>
      </c>
      <c r="Q56" s="14" t="n">
        <v>0.15063578337752</v>
      </c>
      <c r="R56" s="15" t="n">
        <v>3.25313617901181</v>
      </c>
      <c r="S56" s="14" t="n">
        <v>24.95</v>
      </c>
      <c r="T56" s="11" t="s">
        <v>173</v>
      </c>
      <c r="U56" s="11" t="s">
        <v>173</v>
      </c>
      <c r="V56" s="11" t="s">
        <v>229</v>
      </c>
      <c r="W56" s="11" t="s">
        <v>173</v>
      </c>
      <c r="X56" s="11" t="s">
        <v>173</v>
      </c>
      <c r="Y56" s="11" t="s">
        <v>173</v>
      </c>
      <c r="Z56" s="15" t="n">
        <v>1</v>
      </c>
      <c r="AA56" s="11" t="s">
        <v>173</v>
      </c>
      <c r="AB56" s="11" t="n">
        <v>2497</v>
      </c>
      <c r="AC56" s="15" t="n">
        <v>3.74110671936759</v>
      </c>
      <c r="AD56" s="15" t="n">
        <v>1.10479797979798</v>
      </c>
      <c r="AE56" s="15" t="n">
        <v>1.02892000498478</v>
      </c>
      <c r="AF56" s="16" t="n">
        <v>2</v>
      </c>
      <c r="AG56" s="16" t="n">
        <v>128</v>
      </c>
      <c r="AH56" s="16" t="n">
        <v>40</v>
      </c>
      <c r="AI56" s="16" t="n">
        <v>22</v>
      </c>
      <c r="AJ56" s="16" t="n">
        <v>66</v>
      </c>
      <c r="AK56" s="16" t="n">
        <v>0</v>
      </c>
      <c r="AL56" s="16" t="n">
        <v>0</v>
      </c>
      <c r="AM56" s="17" t="n">
        <v>2.203125</v>
      </c>
      <c r="AN56" s="17" t="n">
        <v>0.0910688073456721</v>
      </c>
      <c r="AO56" s="18" t="n">
        <v>0.000773752772693588</v>
      </c>
      <c r="AP56" s="16" t="n">
        <v>0.136110229895231</v>
      </c>
      <c r="AQ56" s="17" t="n">
        <v>14.4761748034376</v>
      </c>
      <c r="AR56" s="16" t="n">
        <v>8.88661215590079</v>
      </c>
      <c r="AS56" s="19" t="n">
        <v>0.0627994955863808</v>
      </c>
      <c r="AT56" s="19" t="n">
        <v>0.0645649432534678</v>
      </c>
      <c r="AU56" s="19" t="n">
        <v>0.376796973518285</v>
      </c>
      <c r="AV56" s="19" t="n">
        <v>0.00756620428751576</v>
      </c>
      <c r="AW56" s="19" t="n">
        <v>0.0650693568726356</v>
      </c>
      <c r="AX56" s="19" t="n">
        <v>1.03076923076923</v>
      </c>
      <c r="AY56" s="19" t="n">
        <v>0.157765736162961</v>
      </c>
      <c r="AZ56" s="19" t="n">
        <v>0.461538461538462</v>
      </c>
      <c r="BA56" s="19" t="n">
        <v>4.63303909205549</v>
      </c>
      <c r="BB56" s="19" t="n">
        <v>1.72621913142846</v>
      </c>
      <c r="BC56" s="19" t="n">
        <v>0.640353089533417</v>
      </c>
      <c r="BD56" s="19" t="n">
        <v>0.215813366960908</v>
      </c>
      <c r="BE56" s="19" t="n">
        <v>0.364186633039092</v>
      </c>
      <c r="BF56" s="20" t="n">
        <v>1.60756620428752</v>
      </c>
      <c r="BG56" s="20" t="n">
        <v>8.19891551071879</v>
      </c>
      <c r="BH56" s="20" t="n">
        <v>1.23076923076923</v>
      </c>
      <c r="BI56" s="20" t="n">
        <v>8.57571248423708</v>
      </c>
      <c r="BJ56" s="20" t="n">
        <v>2.73560910307898</v>
      </c>
      <c r="BK56" s="20" t="n">
        <v>9.80648171500631</v>
      </c>
    </row>
    <row r="57" customFormat="false" ht="12.8" hidden="false" customHeight="false" outlineLevel="0" collapsed="false">
      <c r="A57" s="11" t="s">
        <v>263</v>
      </c>
      <c r="B57" s="12" t="n">
        <v>43123</v>
      </c>
      <c r="C57" s="2" t="n">
        <v>1</v>
      </c>
      <c r="D57" s="11" t="s">
        <v>227</v>
      </c>
      <c r="E57" s="11" t="s">
        <v>175</v>
      </c>
      <c r="F57" s="11" t="n">
        <v>29.5</v>
      </c>
      <c r="G57" s="11" t="n">
        <v>314.24</v>
      </c>
      <c r="H57" s="11" t="n">
        <v>6.4</v>
      </c>
      <c r="I57" s="11" t="n">
        <v>2.03665987780041</v>
      </c>
      <c r="J57" s="13" t="n">
        <v>272.14</v>
      </c>
      <c r="K57" s="13" t="n">
        <v>1.06004995642203</v>
      </c>
      <c r="L57" s="13" t="n">
        <v>13.3974032586558</v>
      </c>
      <c r="M57" s="13" t="n">
        <v>0.0235173072683178</v>
      </c>
      <c r="N57" s="11" t="n">
        <v>42.1</v>
      </c>
      <c r="O57" s="11" t="s">
        <v>222</v>
      </c>
      <c r="P57" s="11" t="n">
        <v>87.2972554840864</v>
      </c>
      <c r="Q57" s="14" t="n">
        <v>0.232627405004812</v>
      </c>
      <c r="R57" s="15" t="n">
        <v>2.03321011188238</v>
      </c>
      <c r="S57" s="14" t="n">
        <v>28.73</v>
      </c>
      <c r="T57" s="11" t="s">
        <v>173</v>
      </c>
      <c r="U57" s="11" t="s">
        <v>173</v>
      </c>
      <c r="V57" s="11" t="s">
        <v>173</v>
      </c>
      <c r="W57" s="11" t="s">
        <v>173</v>
      </c>
      <c r="X57" s="11" t="s">
        <v>173</v>
      </c>
      <c r="Y57" s="11" t="s">
        <v>173</v>
      </c>
      <c r="Z57" s="15" t="n">
        <v>0</v>
      </c>
      <c r="AA57" s="11" t="s">
        <v>173</v>
      </c>
      <c r="AB57" s="11" t="n">
        <v>5880</v>
      </c>
      <c r="AC57" s="15" t="n">
        <v>3.07636363636364</v>
      </c>
      <c r="AD57" s="15" t="n">
        <v>0.795454545454545</v>
      </c>
      <c r="AE57" s="15" t="n">
        <v>9.76236687522964</v>
      </c>
      <c r="AF57" s="16" t="n">
        <v>2</v>
      </c>
      <c r="AG57" s="16" t="n">
        <v>143</v>
      </c>
      <c r="AH57" s="16" t="n">
        <v>53</v>
      </c>
      <c r="AI57" s="16" t="n">
        <v>30</v>
      </c>
      <c r="AJ57" s="16" t="n">
        <v>60</v>
      </c>
      <c r="AK57" s="16" t="n">
        <v>0</v>
      </c>
      <c r="AL57" s="16" t="n">
        <v>0</v>
      </c>
      <c r="AM57" s="17" t="n">
        <v>2.04895104895105</v>
      </c>
      <c r="AN57" s="17" t="n">
        <v>0.054765238782508</v>
      </c>
      <c r="AO57" s="18" t="n">
        <v>0.000869519298732749</v>
      </c>
      <c r="AP57" s="16" t="n">
        <v>0.156064973368502</v>
      </c>
      <c r="AQ57" s="17" t="n">
        <v>12.0361748034376</v>
      </c>
      <c r="AR57" s="16" t="n">
        <v>9.22661215590079</v>
      </c>
      <c r="AS57" s="19" t="n">
        <v>0.044987146529563</v>
      </c>
      <c r="AT57" s="19" t="n">
        <v>0.0478149100257069</v>
      </c>
      <c r="AU57" s="19" t="n">
        <v>0.392030848329049</v>
      </c>
      <c r="AV57" s="19" t="n">
        <v>0</v>
      </c>
      <c r="AW57" s="19" t="n">
        <v>0.0658097686375321</v>
      </c>
      <c r="AX57" s="19" t="n">
        <v>6.65295629820051</v>
      </c>
      <c r="AY57" s="19" t="n">
        <v>0.197401141821553</v>
      </c>
      <c r="AZ57" s="19" t="n">
        <v>0.404370179948586</v>
      </c>
      <c r="BA57" s="19" t="n">
        <v>5.15424164524422</v>
      </c>
      <c r="BB57" s="19" t="n">
        <v>1.8424446165332</v>
      </c>
      <c r="BC57" s="19" t="n">
        <v>0.684832904884319</v>
      </c>
      <c r="BD57" s="19" t="n">
        <v>0.319023136246787</v>
      </c>
      <c r="BE57" s="19" t="n">
        <v>0.402827763496144</v>
      </c>
      <c r="BF57" s="20" t="n">
        <v>7.20359897172236</v>
      </c>
      <c r="BG57" s="20" t="n">
        <v>9.00514138817481</v>
      </c>
      <c r="BH57" s="20" t="n">
        <v>6.81156812339332</v>
      </c>
      <c r="BI57" s="20" t="n">
        <v>9.39717223650386</v>
      </c>
      <c r="BJ57" s="20" t="n">
        <v>16.9704918032787</v>
      </c>
      <c r="BK57" s="20" t="n">
        <v>16.2087403598972</v>
      </c>
      <c r="BL57" s="7" t="s">
        <v>224</v>
      </c>
      <c r="BM57" s="7" t="s">
        <v>223</v>
      </c>
      <c r="BN57" s="7" t="s">
        <v>223</v>
      </c>
      <c r="BO57" s="7" t="s">
        <v>223</v>
      </c>
      <c r="BP57" s="7" t="s">
        <v>223</v>
      </c>
      <c r="BQ57" s="7" t="s">
        <v>223</v>
      </c>
      <c r="BR57" s="7" t="s">
        <v>223</v>
      </c>
      <c r="BS57" s="7" t="s">
        <v>223</v>
      </c>
      <c r="BT57" s="7" t="n">
        <v>2.68217558584999</v>
      </c>
      <c r="BU57" s="7" t="s">
        <v>224</v>
      </c>
      <c r="BV57" s="7" t="s">
        <v>223</v>
      </c>
      <c r="BW57" s="7" t="n">
        <v>2.7818731521617</v>
      </c>
      <c r="BX57" s="7" t="s">
        <v>223</v>
      </c>
      <c r="BY57" s="7" t="n">
        <v>8.39217107867443</v>
      </c>
      <c r="BZ57" s="7" t="s">
        <v>223</v>
      </c>
      <c r="CA57" s="7" t="s">
        <v>224</v>
      </c>
      <c r="CB57" s="7" t="s">
        <v>223</v>
      </c>
      <c r="CC57" s="7" t="s">
        <v>224</v>
      </c>
      <c r="CD57" s="7" t="s">
        <v>223</v>
      </c>
      <c r="CE57" s="7" t="n">
        <v>6.38490757596325</v>
      </c>
      <c r="CF57" s="7" t="s">
        <v>223</v>
      </c>
      <c r="CG57" s="7" t="s">
        <v>223</v>
      </c>
      <c r="CH57" s="7" t="s">
        <v>223</v>
      </c>
      <c r="CI57" s="7" t="s">
        <v>223</v>
      </c>
      <c r="CJ57" s="10" t="n">
        <f aca="false">SUM(BL57:CI57)</f>
        <v>20.2411273926494</v>
      </c>
      <c r="CK57" s="22" t="s">
        <v>223</v>
      </c>
      <c r="CL57" s="22" t="s">
        <v>223</v>
      </c>
      <c r="CM57" s="22" t="n">
        <v>2.42940850487127</v>
      </c>
      <c r="CN57" s="22" t="n">
        <v>6.22799720255046</v>
      </c>
      <c r="CO57" s="22" t="n">
        <v>10.773219612029</v>
      </c>
      <c r="CP57" s="22" t="s">
        <v>223</v>
      </c>
      <c r="CQ57" s="22" t="n">
        <v>18.2112783474957</v>
      </c>
      <c r="CR57" s="22" t="n">
        <v>72.3559395788041</v>
      </c>
      <c r="CS57" s="22" t="n">
        <v>90.3338157540979</v>
      </c>
      <c r="CT57" s="22" t="n">
        <v>8.10238969214971</v>
      </c>
      <c r="CU57" s="22" t="n">
        <v>289.768163690472</v>
      </c>
      <c r="CV57" s="22" t="n">
        <v>42.9768104601315</v>
      </c>
      <c r="CW57" s="22" t="n">
        <v>282.484580895378</v>
      </c>
      <c r="CX57" s="22" t="n">
        <v>234.559053492992</v>
      </c>
      <c r="CY57" s="22" t="n">
        <v>44.772698783312</v>
      </c>
      <c r="CZ57" s="22" t="n">
        <v>63.362991869754</v>
      </c>
      <c r="DA57" s="22" t="n">
        <v>41.356079282455</v>
      </c>
      <c r="DB57" s="22" t="n">
        <v>733.392253664689</v>
      </c>
      <c r="DC57" s="22" t="n">
        <v>293.865996764447</v>
      </c>
      <c r="DD57" s="22" t="n">
        <v>849.79620571637</v>
      </c>
      <c r="DE57" s="22" t="n">
        <v>28.7055127229508</v>
      </c>
      <c r="DF57" s="22" t="n">
        <v>4.96855401656438</v>
      </c>
      <c r="DG57" s="22" t="n">
        <v>71.1112686821979</v>
      </c>
      <c r="DH57" s="22" t="n">
        <v>183.92471028375</v>
      </c>
      <c r="DI57" s="22" t="n">
        <v>236.016023291258</v>
      </c>
      <c r="DJ57" s="22" t="n">
        <v>30.8179501042713</v>
      </c>
      <c r="DK57" s="23" t="n">
        <f aca="false">SUM(CK57:DJ57)</f>
        <v>3640.31290241299</v>
      </c>
      <c r="DL57" s="22" t="s">
        <v>223</v>
      </c>
      <c r="DM57" s="22" t="n">
        <v>192.431016574087</v>
      </c>
      <c r="DN57" s="22" t="s">
        <v>223</v>
      </c>
      <c r="DO57" s="22" t="s">
        <v>240</v>
      </c>
      <c r="DP57" s="22" t="s">
        <v>240</v>
      </c>
      <c r="DQ57" s="22" t="s">
        <v>240</v>
      </c>
      <c r="DR57" s="22" t="s">
        <v>240</v>
      </c>
      <c r="DS57" s="22" t="s">
        <v>240</v>
      </c>
      <c r="DT57" s="22" t="s">
        <v>240</v>
      </c>
      <c r="DU57" s="22" t="s">
        <v>223</v>
      </c>
      <c r="DV57" s="22" t="s">
        <v>224</v>
      </c>
      <c r="DW57" s="22" t="n">
        <v>37.6423257323574</v>
      </c>
      <c r="DX57" s="22" t="s">
        <v>240</v>
      </c>
      <c r="DY57" s="22" t="s">
        <v>240</v>
      </c>
      <c r="DZ57" s="22" t="s">
        <v>240</v>
      </c>
      <c r="EA57" s="22" t="s">
        <v>240</v>
      </c>
      <c r="EB57" s="22" t="s">
        <v>223</v>
      </c>
      <c r="EC57" s="22" t="s">
        <v>240</v>
      </c>
      <c r="ED57" s="22" t="s">
        <v>240</v>
      </c>
      <c r="EE57" s="22" t="s">
        <v>240</v>
      </c>
      <c r="EF57" s="22" t="s">
        <v>224</v>
      </c>
      <c r="EG57" s="22" t="s">
        <v>223</v>
      </c>
      <c r="EH57" s="22" t="s">
        <v>223</v>
      </c>
      <c r="EI57" s="22" t="s">
        <v>224</v>
      </c>
      <c r="EJ57" s="22" t="n">
        <v>2.87679784037571</v>
      </c>
      <c r="EK57" s="22" t="s">
        <v>240</v>
      </c>
      <c r="EL57" s="22" t="s">
        <v>240</v>
      </c>
      <c r="EM57" s="23" t="n">
        <f aca="false">SUM(DL57:EL57)</f>
        <v>232.95014014682</v>
      </c>
      <c r="EN57" s="22" t="s">
        <v>223</v>
      </c>
      <c r="EO57" s="22" t="s">
        <v>223</v>
      </c>
      <c r="EP57" s="22" t="s">
        <v>223</v>
      </c>
      <c r="EQ57" s="22" t="s">
        <v>223</v>
      </c>
      <c r="ER57" s="22" t="s">
        <v>223</v>
      </c>
      <c r="ES57" s="22" t="s">
        <v>223</v>
      </c>
      <c r="ET57" s="22" t="s">
        <v>223</v>
      </c>
      <c r="EU57" s="10" t="n">
        <f aca="false">SUM(EN57:ET57)</f>
        <v>0</v>
      </c>
      <c r="EV57" s="1" t="n">
        <v>1.11818765036087</v>
      </c>
      <c r="EW57" s="1" t="n">
        <v>0.0365188452285485</v>
      </c>
      <c r="EX57" s="1" t="s">
        <v>225</v>
      </c>
      <c r="EY57" s="1" t="s">
        <v>225</v>
      </c>
      <c r="EZ57" s="1" t="n">
        <v>137.346407377706</v>
      </c>
      <c r="FA57" s="1" t="n">
        <v>188.398460304731</v>
      </c>
      <c r="FB57" s="1" t="n">
        <v>0.798243785084201</v>
      </c>
      <c r="FC57" s="1" t="n">
        <v>4.88318364073777</v>
      </c>
      <c r="FD57" s="1" t="s">
        <v>225</v>
      </c>
      <c r="FE57" s="1" t="n">
        <v>0.155124298315958</v>
      </c>
      <c r="FF57" s="1" t="s">
        <v>225</v>
      </c>
      <c r="FG57" s="1" t="n">
        <v>1.97137129109864</v>
      </c>
      <c r="FH57" s="1" t="n">
        <v>0.0355493183640738</v>
      </c>
      <c r="FI57" s="1" t="s">
        <v>225</v>
      </c>
      <c r="FJ57" s="1" t="n">
        <v>244.789374498797</v>
      </c>
      <c r="FK57" s="1" t="n">
        <v>1.09628603849238</v>
      </c>
    </row>
    <row r="58" customFormat="false" ht="12.8" hidden="false" customHeight="false" outlineLevel="0" collapsed="false">
      <c r="A58" s="11" t="s">
        <v>264</v>
      </c>
      <c r="B58" s="12" t="n">
        <v>43123</v>
      </c>
      <c r="C58" s="2" t="n">
        <v>1</v>
      </c>
      <c r="D58" s="11" t="s">
        <v>227</v>
      </c>
      <c r="E58" s="11" t="s">
        <v>170</v>
      </c>
      <c r="F58" s="11" t="n">
        <v>26.5</v>
      </c>
      <c r="G58" s="11" t="n">
        <v>203.39</v>
      </c>
      <c r="H58" s="11" t="n">
        <v>2.5</v>
      </c>
      <c r="I58" s="11" t="n">
        <v>1.22916564236196</v>
      </c>
      <c r="J58" s="13" t="n">
        <v>201.29</v>
      </c>
      <c r="K58" s="13" t="n">
        <v>1.08164457908206</v>
      </c>
      <c r="L58" s="13" t="n">
        <v>1.03249913958405</v>
      </c>
      <c r="M58" s="13" t="n">
        <v>0.0124198916985444</v>
      </c>
      <c r="N58" s="11" t="n">
        <v>2.1</v>
      </c>
      <c r="O58" s="11" t="s">
        <v>234</v>
      </c>
      <c r="P58" s="11" t="n">
        <v>113.69156336951</v>
      </c>
      <c r="Q58" s="14" t="n">
        <v>0.20566169375731</v>
      </c>
      <c r="R58" s="15" t="n">
        <v>13.2387316883538</v>
      </c>
      <c r="S58" s="14" t="n">
        <v>31.7</v>
      </c>
      <c r="T58" s="15" t="n">
        <v>19.1428571428571</v>
      </c>
      <c r="U58" s="11" t="s">
        <v>173</v>
      </c>
      <c r="V58" s="11" t="s">
        <v>173</v>
      </c>
      <c r="W58" s="11" t="s">
        <v>173</v>
      </c>
      <c r="X58" s="11" t="s">
        <v>173</v>
      </c>
      <c r="Y58" s="11" t="s">
        <v>173</v>
      </c>
      <c r="Z58" s="15" t="n">
        <v>0</v>
      </c>
      <c r="AA58" s="11" t="n">
        <v>2042</v>
      </c>
      <c r="AB58" s="11" t="s">
        <v>173</v>
      </c>
      <c r="AC58" s="15" t="n">
        <v>3.66155660377359</v>
      </c>
      <c r="AD58" s="15" t="n">
        <v>0.819559228650138</v>
      </c>
      <c r="AE58" s="15" t="n">
        <v>3.4211995880727</v>
      </c>
      <c r="AF58" s="16" t="s">
        <v>173</v>
      </c>
      <c r="AG58" s="16" t="s">
        <v>173</v>
      </c>
      <c r="AH58" s="16" t="s">
        <v>173</v>
      </c>
      <c r="AI58" s="16" t="s">
        <v>173</v>
      </c>
      <c r="AJ58" s="16" t="s">
        <v>173</v>
      </c>
      <c r="AK58" s="16" t="s">
        <v>173</v>
      </c>
      <c r="AL58" s="16" t="s">
        <v>173</v>
      </c>
      <c r="AM58" s="16" t="s">
        <v>173</v>
      </c>
      <c r="AN58" s="17" t="n">
        <v>0.0849889754555007</v>
      </c>
      <c r="AO58" s="18" t="n">
        <v>0.000326763931730696</v>
      </c>
      <c r="AP58" s="16" t="n">
        <v>0.094084545919831</v>
      </c>
      <c r="AQ58" s="17" t="n">
        <v>11.4761748034376</v>
      </c>
      <c r="AR58" s="16" t="n">
        <v>9.02661215590079</v>
      </c>
      <c r="AS58" s="19" t="n">
        <v>0.021244635193133</v>
      </c>
      <c r="AT58" s="19" t="n">
        <v>0.0178111587982833</v>
      </c>
      <c r="AU58" s="19" t="n">
        <v>0.395064377682403</v>
      </c>
      <c r="AV58" s="19" t="n">
        <v>0</v>
      </c>
      <c r="AW58" s="19" t="n">
        <v>0.0491416309012875</v>
      </c>
      <c r="AX58" s="19" t="n">
        <v>6.3175965665236</v>
      </c>
      <c r="AY58" s="19" t="n">
        <v>0.0866767180088174</v>
      </c>
      <c r="AZ58" s="19" t="n">
        <v>0.240343347639485</v>
      </c>
      <c r="BA58" s="19" t="n">
        <v>7.1244635193133</v>
      </c>
      <c r="BB58" s="19" t="n">
        <v>1.96074817469505</v>
      </c>
      <c r="BC58" s="19" t="n">
        <v>0.814377682403433</v>
      </c>
      <c r="BD58" s="19" t="n">
        <v>0.399141630901288</v>
      </c>
      <c r="BE58" s="19" t="n">
        <v>0.360944206008584</v>
      </c>
      <c r="BF58" s="20" t="n">
        <v>6.80085836909871</v>
      </c>
      <c r="BG58" s="20" t="n">
        <v>10.98669527897</v>
      </c>
      <c r="BH58" s="20" t="n">
        <v>6.40579399141631</v>
      </c>
      <c r="BI58" s="20" t="n">
        <v>11.3817596566524</v>
      </c>
      <c r="BJ58" s="20" t="n">
        <v>15.991309071157</v>
      </c>
      <c r="BK58" s="20" t="n">
        <v>17.7875536480687</v>
      </c>
    </row>
    <row r="59" customFormat="false" ht="12.8" hidden="false" customHeight="false" outlineLevel="0" collapsed="false">
      <c r="A59" s="11" t="s">
        <v>265</v>
      </c>
      <c r="B59" s="12" t="n">
        <v>43123</v>
      </c>
      <c r="C59" s="2" t="n">
        <v>1</v>
      </c>
      <c r="D59" s="11" t="s">
        <v>227</v>
      </c>
      <c r="E59" s="11" t="s">
        <v>175</v>
      </c>
      <c r="F59" s="11" t="n">
        <v>28.4</v>
      </c>
      <c r="G59" s="11" t="n">
        <v>286.84</v>
      </c>
      <c r="H59" s="11" t="n">
        <v>8</v>
      </c>
      <c r="I59" s="11" t="n">
        <v>2.78901129549575</v>
      </c>
      <c r="J59" s="13" t="n">
        <v>249.34</v>
      </c>
      <c r="K59" s="13" t="n">
        <v>1.08852130836996</v>
      </c>
      <c r="L59" s="13" t="n">
        <v>13.0734904476363</v>
      </c>
      <c r="M59" s="13" t="n">
        <v>0.0320847036175503</v>
      </c>
      <c r="N59" s="11" t="n">
        <v>37.5</v>
      </c>
      <c r="O59" s="11"/>
      <c r="P59" s="11" t="s">
        <v>173</v>
      </c>
      <c r="Q59" s="14" t="n">
        <v>0.183334970926454</v>
      </c>
      <c r="R59" s="15" t="n">
        <v>7.35785004613938</v>
      </c>
      <c r="S59" s="14" t="n">
        <v>23.62</v>
      </c>
      <c r="T59" s="11" t="s">
        <v>173</v>
      </c>
      <c r="U59" s="11" t="s">
        <v>182</v>
      </c>
      <c r="V59" s="11" t="s">
        <v>173</v>
      </c>
      <c r="W59" s="11" t="s">
        <v>173</v>
      </c>
      <c r="X59" s="11" t="s">
        <v>173</v>
      </c>
      <c r="Y59" s="11" t="s">
        <v>173</v>
      </c>
      <c r="Z59" s="15" t="n">
        <v>1</v>
      </c>
      <c r="AA59" s="11" t="s">
        <v>173</v>
      </c>
      <c r="AB59" s="11" t="n">
        <v>5789</v>
      </c>
      <c r="AC59" s="15" t="n">
        <v>3.45693779904306</v>
      </c>
      <c r="AD59" s="15" t="n">
        <v>1.02846648301194</v>
      </c>
      <c r="AE59" s="15" t="n">
        <v>1.18776917133547</v>
      </c>
      <c r="AF59" s="16" t="n">
        <v>2</v>
      </c>
      <c r="AG59" s="16" t="n">
        <v>101</v>
      </c>
      <c r="AH59" s="16" t="n">
        <v>12</v>
      </c>
      <c r="AI59" s="16" t="n">
        <v>14</v>
      </c>
      <c r="AJ59" s="16" t="n">
        <v>75</v>
      </c>
      <c r="AK59" s="16" t="n">
        <v>0</v>
      </c>
      <c r="AL59" s="16" t="n">
        <v>0</v>
      </c>
      <c r="AM59" s="17" t="n">
        <v>2.62376237623762</v>
      </c>
      <c r="AN59" s="17" t="n">
        <v>0.0338632176770467</v>
      </c>
      <c r="AO59" s="18" t="n">
        <v>0.00102740637708191</v>
      </c>
      <c r="AP59" s="16" t="n">
        <v>0.0647079957931555</v>
      </c>
      <c r="AQ59" s="17" t="n">
        <v>11.2361748034376</v>
      </c>
      <c r="AR59" s="16" t="n">
        <v>10.9466121559008</v>
      </c>
      <c r="AS59" s="19" t="n">
        <v>0.0543396226415094</v>
      </c>
      <c r="AT59" s="19" t="n">
        <v>0.0820754716981132</v>
      </c>
      <c r="AU59" s="19" t="n">
        <v>0.429905660377359</v>
      </c>
      <c r="AV59" s="19" t="n">
        <v>0</v>
      </c>
      <c r="AW59" s="19" t="n">
        <v>0.0444339622641509</v>
      </c>
      <c r="AX59" s="19" t="n">
        <v>1.52433962264151</v>
      </c>
      <c r="AY59" s="19" t="n">
        <v>0</v>
      </c>
      <c r="AZ59" s="19" t="n">
        <v>0.223528301886792</v>
      </c>
      <c r="BA59" s="19" t="n">
        <v>5.46509433962264</v>
      </c>
      <c r="BB59" s="19" t="n">
        <v>2.13339622641509</v>
      </c>
      <c r="BC59" s="19" t="n">
        <v>0.646981132075472</v>
      </c>
      <c r="BD59" s="19" t="n">
        <v>0.202641509433962</v>
      </c>
      <c r="BE59" s="19" t="n">
        <v>0.411792452830189</v>
      </c>
      <c r="BF59" s="20" t="n">
        <v>2.13509433962264</v>
      </c>
      <c r="BG59" s="20" t="n">
        <v>9.08343396226415</v>
      </c>
      <c r="BH59" s="20" t="n">
        <v>1.70518867924528</v>
      </c>
      <c r="BI59" s="20" t="n">
        <v>9.51333962264151</v>
      </c>
      <c r="BJ59" s="20" t="n">
        <v>3.54575378538512</v>
      </c>
      <c r="BK59" s="20" t="n">
        <v>11.2185283018868</v>
      </c>
    </row>
    <row r="60" customFormat="false" ht="12.8" hidden="false" customHeight="false" outlineLevel="0" collapsed="false">
      <c r="A60" s="11" t="s">
        <v>266</v>
      </c>
      <c r="B60" s="12" t="n">
        <v>43123</v>
      </c>
      <c r="C60" s="2" t="n">
        <v>1</v>
      </c>
      <c r="D60" s="11" t="s">
        <v>227</v>
      </c>
      <c r="E60" s="11" t="s">
        <v>170</v>
      </c>
      <c r="F60" s="11" t="n">
        <v>25.1</v>
      </c>
      <c r="G60" s="11" t="n">
        <v>176.87</v>
      </c>
      <c r="H60" s="11" t="n">
        <v>2.1</v>
      </c>
      <c r="I60" s="11" t="n">
        <v>1.1873127155538</v>
      </c>
      <c r="J60" s="13" t="n">
        <v>172.67</v>
      </c>
      <c r="K60" s="13" t="n">
        <v>1.09193232941158</v>
      </c>
      <c r="L60" s="13" t="n">
        <v>2.37462543110759</v>
      </c>
      <c r="M60" s="13" t="n">
        <v>0.0121619273759194</v>
      </c>
      <c r="N60" s="11" t="n">
        <v>4.2</v>
      </c>
      <c r="O60" s="11" t="s">
        <v>234</v>
      </c>
      <c r="P60" s="11" t="n">
        <v>90.9638737873228</v>
      </c>
      <c r="Q60" s="14" t="n">
        <v>0.126498575518886</v>
      </c>
      <c r="R60" s="15" t="n">
        <v>7.27542838867971</v>
      </c>
      <c r="S60" s="14" t="n">
        <v>23.81</v>
      </c>
      <c r="T60" s="15" t="n">
        <v>18.6071428571429</v>
      </c>
      <c r="U60" s="11" t="s">
        <v>182</v>
      </c>
      <c r="V60" s="11" t="s">
        <v>173</v>
      </c>
      <c r="W60" s="11" t="s">
        <v>173</v>
      </c>
      <c r="X60" s="11" t="s">
        <v>173</v>
      </c>
      <c r="Y60" s="11" t="s">
        <v>173</v>
      </c>
      <c r="Z60" s="15" t="n">
        <v>1</v>
      </c>
      <c r="AA60" s="11" t="n">
        <v>2344</v>
      </c>
      <c r="AB60" s="11" t="s">
        <v>173</v>
      </c>
      <c r="AC60" s="15" t="n">
        <v>2.74828767123288</v>
      </c>
      <c r="AD60" s="15" t="n">
        <v>0.807506887052342</v>
      </c>
      <c r="AE60" s="15" t="n">
        <v>2.99054118224861</v>
      </c>
      <c r="AF60" s="16" t="s">
        <v>173</v>
      </c>
      <c r="AG60" s="16" t="s">
        <v>173</v>
      </c>
      <c r="AH60" s="16" t="s">
        <v>173</v>
      </c>
      <c r="AI60" s="16" t="s">
        <v>173</v>
      </c>
      <c r="AJ60" s="16" t="s">
        <v>173</v>
      </c>
      <c r="AK60" s="16" t="s">
        <v>173</v>
      </c>
      <c r="AL60" s="16" t="s">
        <v>173</v>
      </c>
      <c r="AM60" s="16" t="s">
        <v>173</v>
      </c>
      <c r="AN60" s="17" t="n">
        <v>0.0847317416968043</v>
      </c>
      <c r="AO60" s="18" t="n">
        <v>0.00171844265576531</v>
      </c>
      <c r="AP60" s="16" t="n">
        <v>0.0924627004465557</v>
      </c>
      <c r="AQ60" s="17" t="n">
        <v>7.71617480343756</v>
      </c>
      <c r="AR60" s="16" t="n">
        <v>8.90661215590079</v>
      </c>
      <c r="AS60" s="19" t="n">
        <v>0.0659566375047547</v>
      </c>
      <c r="AT60" s="19" t="n">
        <v>0.0705211106884747</v>
      </c>
      <c r="AU60" s="19" t="n">
        <v>0.446177253708635</v>
      </c>
      <c r="AV60" s="19" t="n">
        <v>0</v>
      </c>
      <c r="AW60" s="19" t="n">
        <v>0.0597945987067326</v>
      </c>
      <c r="AX60" s="19" t="n">
        <v>4.03271205781666</v>
      </c>
      <c r="AY60" s="19" t="n">
        <v>0.0546570123506929</v>
      </c>
      <c r="AZ60" s="19" t="n">
        <v>0.337086344617725</v>
      </c>
      <c r="BA60" s="19" t="n">
        <v>4.3499429440852</v>
      </c>
      <c r="BB60" s="19" t="n">
        <v>1.58695576817422</v>
      </c>
      <c r="BC60" s="19" t="n">
        <v>0.686496766831495</v>
      </c>
      <c r="BD60" s="19" t="n">
        <v>0.246481551920882</v>
      </c>
      <c r="BE60" s="19" t="n">
        <v>0.461924686192469</v>
      </c>
      <c r="BF60" s="20" t="n">
        <v>4.67516165842526</v>
      </c>
      <c r="BG60" s="20" t="n">
        <v>7.72354507417269</v>
      </c>
      <c r="BH60" s="20" t="n">
        <v>4.22898440471662</v>
      </c>
      <c r="BI60" s="20" t="n">
        <v>8.16972232788132</v>
      </c>
      <c r="BJ60" s="20" t="n">
        <v>9.0383631713555</v>
      </c>
      <c r="BK60" s="20" t="n">
        <v>12.3987067325979</v>
      </c>
    </row>
    <row r="61" customFormat="false" ht="12.8" hidden="false" customHeight="false" outlineLevel="0" collapsed="false">
      <c r="A61" s="11" t="s">
        <v>267</v>
      </c>
      <c r="B61" s="12" t="n">
        <v>43123</v>
      </c>
      <c r="C61" s="2" t="n">
        <v>1</v>
      </c>
      <c r="D61" s="11" t="s">
        <v>227</v>
      </c>
      <c r="E61" s="11" t="s">
        <v>175</v>
      </c>
      <c r="F61" s="11" t="n">
        <v>26.7</v>
      </c>
      <c r="G61" s="11" t="n">
        <v>296.89</v>
      </c>
      <c r="H61" s="11" t="n">
        <v>6.8</v>
      </c>
      <c r="I61" s="11" t="n">
        <v>2.29041058978073</v>
      </c>
      <c r="J61" s="13" t="n">
        <v>256.59</v>
      </c>
      <c r="K61" s="13" t="n">
        <v>1.34804981968474</v>
      </c>
      <c r="L61" s="13" t="n">
        <v>13.5740509953181</v>
      </c>
      <c r="M61" s="13" t="n">
        <v>0.0265014225028255</v>
      </c>
      <c r="N61" s="11" t="n">
        <v>40.3</v>
      </c>
      <c r="O61" s="11"/>
      <c r="P61" s="11" t="n">
        <v>80.6902104755277</v>
      </c>
      <c r="Q61" s="14" t="n">
        <v>0.202594464541827</v>
      </c>
      <c r="R61" s="15" t="n">
        <v>6.27247787003715</v>
      </c>
      <c r="S61" s="14" t="n">
        <v>26.15</v>
      </c>
      <c r="T61" s="11" t="s">
        <v>173</v>
      </c>
      <c r="U61" s="11" t="s">
        <v>173</v>
      </c>
      <c r="V61" s="11" t="s">
        <v>173</v>
      </c>
      <c r="W61" s="11" t="s">
        <v>173</v>
      </c>
      <c r="X61" s="11" t="s">
        <v>173</v>
      </c>
      <c r="Y61" s="11" t="s">
        <v>173</v>
      </c>
      <c r="Z61" s="15" t="n">
        <v>0</v>
      </c>
      <c r="AA61" s="11" t="s">
        <v>173</v>
      </c>
      <c r="AB61" s="11" t="n">
        <v>4381</v>
      </c>
      <c r="AC61" s="15" t="n">
        <v>4.43181818181818</v>
      </c>
      <c r="AD61" s="15" t="n">
        <v>0.891873278236915</v>
      </c>
      <c r="AE61" s="21" t="n">
        <v>3.1766381162745</v>
      </c>
      <c r="AF61" s="16" t="n">
        <v>2</v>
      </c>
      <c r="AG61" s="16" t="n">
        <v>118</v>
      </c>
      <c r="AH61" s="16" t="n">
        <v>29</v>
      </c>
      <c r="AI61" s="16" t="n">
        <v>7</v>
      </c>
      <c r="AJ61" s="16" t="n">
        <v>80</v>
      </c>
      <c r="AK61" s="16" t="n">
        <v>0</v>
      </c>
      <c r="AL61" s="16" t="n">
        <v>2</v>
      </c>
      <c r="AM61" s="17" t="n">
        <v>2.43965517241379</v>
      </c>
      <c r="AN61" s="17" t="n">
        <v>0.0319082291464744</v>
      </c>
      <c r="AO61" s="18" t="n">
        <v>0.0011711141264418</v>
      </c>
      <c r="AP61" s="16" t="n">
        <v>0.0559143287241251</v>
      </c>
      <c r="AQ61" s="17" t="n">
        <v>13.4361748034376</v>
      </c>
      <c r="AR61" s="16" t="n">
        <v>9.90661215590079</v>
      </c>
      <c r="AS61" s="19" t="n">
        <v>0.0172606268784886</v>
      </c>
      <c r="AT61" s="19" t="n">
        <v>0.0695577501073422</v>
      </c>
      <c r="AU61" s="19" t="n">
        <v>0.528381279519107</v>
      </c>
      <c r="AV61" s="19" t="n">
        <v>0.0252468870759983</v>
      </c>
      <c r="AW61" s="19" t="n">
        <v>0.0548733361957922</v>
      </c>
      <c r="AX61" s="19" t="n">
        <v>1.07556891369687</v>
      </c>
      <c r="AY61" s="19" t="n">
        <v>0.178016316015457</v>
      </c>
      <c r="AZ61" s="19" t="n">
        <v>0.299613568054959</v>
      </c>
      <c r="BA61" s="19" t="n">
        <v>4.6784027479605</v>
      </c>
      <c r="BB61" s="19" t="n">
        <v>1.75646200085874</v>
      </c>
      <c r="BC61" s="19" t="n">
        <v>0.686303134392443</v>
      </c>
      <c r="BD61" s="19" t="n">
        <v>0.296264491197939</v>
      </c>
      <c r="BE61" s="19" t="n">
        <v>0.472992700729927</v>
      </c>
      <c r="BF61" s="20" t="n">
        <v>1.77088879347359</v>
      </c>
      <c r="BG61" s="20" t="n">
        <v>8.36805495920996</v>
      </c>
      <c r="BH61" s="20" t="n">
        <v>1.24250751395449</v>
      </c>
      <c r="BI61" s="20" t="n">
        <v>8.89643623872907</v>
      </c>
      <c r="BJ61" s="20" t="n">
        <v>2.03559239395417</v>
      </c>
      <c r="BK61" s="20" t="n">
        <v>10.1389437526836</v>
      </c>
    </row>
    <row r="62" customFormat="false" ht="12.8" hidden="false" customHeight="false" outlineLevel="0" collapsed="false">
      <c r="A62" s="11" t="s">
        <v>268</v>
      </c>
      <c r="B62" s="12" t="n">
        <v>43123</v>
      </c>
      <c r="C62" s="2" t="n">
        <v>1</v>
      </c>
      <c r="D62" s="11" t="s">
        <v>227</v>
      </c>
      <c r="E62" s="11" t="s">
        <v>175</v>
      </c>
      <c r="F62" s="11" t="n">
        <v>27.4</v>
      </c>
      <c r="G62" s="11" t="n">
        <v>319.27</v>
      </c>
      <c r="H62" s="11" t="n">
        <v>6.5</v>
      </c>
      <c r="I62" s="11" t="n">
        <v>2.03589438406365</v>
      </c>
      <c r="J62" s="13" t="n">
        <v>285.27</v>
      </c>
      <c r="K62" s="13" t="n">
        <v>1.38676992229383</v>
      </c>
      <c r="L62" s="13" t="n">
        <v>10.649293701256</v>
      </c>
      <c r="M62" s="13" t="n">
        <v>0.0227854313457426</v>
      </c>
      <c r="N62" s="11" t="n">
        <v>34</v>
      </c>
      <c r="O62" s="11" t="s">
        <v>269</v>
      </c>
      <c r="P62" s="11" t="n">
        <v>102.722006890336</v>
      </c>
      <c r="Q62" s="14" t="n">
        <v>0.188151994478434</v>
      </c>
      <c r="R62" s="15" t="n">
        <v>3.12443268837506</v>
      </c>
      <c r="S62" s="14" t="n">
        <v>35.28</v>
      </c>
      <c r="T62" s="11" t="s">
        <v>173</v>
      </c>
      <c r="U62" s="11" t="s">
        <v>173</v>
      </c>
      <c r="V62" s="11" t="s">
        <v>173</v>
      </c>
      <c r="W62" s="11" t="s">
        <v>173</v>
      </c>
      <c r="X62" s="11" t="s">
        <v>173</v>
      </c>
      <c r="Y62" s="11" t="s">
        <v>173</v>
      </c>
      <c r="Z62" s="15" t="n">
        <v>0</v>
      </c>
      <c r="AA62" s="11" t="s">
        <v>173</v>
      </c>
      <c r="AB62" s="11" t="n">
        <v>6797</v>
      </c>
      <c r="AC62" s="15" t="n">
        <v>3.21428571428571</v>
      </c>
      <c r="AD62" s="15" t="n">
        <v>0.803489439853076</v>
      </c>
      <c r="AE62" s="21" t="n">
        <v>2.41371726986875</v>
      </c>
      <c r="AF62" s="16" t="n">
        <v>2</v>
      </c>
      <c r="AG62" s="16" t="n">
        <v>162</v>
      </c>
      <c r="AH62" s="16" t="n">
        <v>42</v>
      </c>
      <c r="AI62" s="16" t="n">
        <v>0</v>
      </c>
      <c r="AJ62" s="16" t="n">
        <v>119</v>
      </c>
      <c r="AK62" s="16" t="n">
        <v>0</v>
      </c>
      <c r="AL62" s="16" t="n">
        <v>1</v>
      </c>
      <c r="AM62" s="17" t="n">
        <v>2.47826086956522</v>
      </c>
      <c r="AN62" s="17" t="n">
        <v>0.154224206234945</v>
      </c>
      <c r="AO62" s="18" t="n">
        <v>0.00129533707797236</v>
      </c>
      <c r="AP62" s="16" t="n">
        <v>0.078418237751646</v>
      </c>
      <c r="AQ62" s="17" t="n">
        <v>7.43617480343756</v>
      </c>
      <c r="AR62" s="16" t="n">
        <v>9.62661215590079</v>
      </c>
      <c r="AS62" s="19" t="n">
        <v>0.0348051948051948</v>
      </c>
      <c r="AT62" s="19" t="n">
        <v>0.0446753246753247</v>
      </c>
      <c r="AU62" s="19" t="n">
        <v>0.429350649350649</v>
      </c>
      <c r="AV62" s="19" t="n">
        <v>0.0644155844155844</v>
      </c>
      <c r="AW62" s="19" t="n">
        <v>0.0950649350649351</v>
      </c>
      <c r="AX62" s="19" t="n">
        <v>1.64207792207792</v>
      </c>
      <c r="AY62" s="19" t="n">
        <v>0.140779220779221</v>
      </c>
      <c r="AZ62" s="19" t="n">
        <v>0.216363636363636</v>
      </c>
      <c r="BA62" s="19" t="n">
        <v>4.78181818181818</v>
      </c>
      <c r="BB62" s="19" t="n">
        <v>2.14337662337662</v>
      </c>
      <c r="BC62" s="19" t="n">
        <v>0.754285714285714</v>
      </c>
      <c r="BD62" s="19" t="n">
        <v>0.358181818181818</v>
      </c>
      <c r="BE62" s="19" t="n">
        <v>0.592467532467533</v>
      </c>
      <c r="BF62" s="20" t="n">
        <v>2.31038961038961</v>
      </c>
      <c r="BG62" s="20" t="n">
        <v>8.98727272727273</v>
      </c>
      <c r="BH62" s="20" t="n">
        <v>1.88103896103896</v>
      </c>
      <c r="BI62" s="20" t="n">
        <v>9.41662337662338</v>
      </c>
      <c r="BJ62" s="20" t="n">
        <v>3.82456140350877</v>
      </c>
      <c r="BK62" s="20" t="n">
        <v>11.2976623376623</v>
      </c>
    </row>
    <row r="63" customFormat="false" ht="12.8" hidden="false" customHeight="false" outlineLevel="0" collapsed="false">
      <c r="A63" s="11" t="s">
        <v>270</v>
      </c>
      <c r="B63" s="12" t="n">
        <v>43286</v>
      </c>
      <c r="C63" s="25" t="n">
        <v>7</v>
      </c>
      <c r="D63" s="11" t="s">
        <v>227</v>
      </c>
      <c r="E63" s="11" t="s">
        <v>170</v>
      </c>
      <c r="F63" s="11" t="n">
        <v>37.6</v>
      </c>
      <c r="G63" s="11" t="n">
        <v>386.52</v>
      </c>
      <c r="H63" s="11" t="n">
        <v>5.6</v>
      </c>
      <c r="I63" s="11" t="n">
        <v>1.44882541653731</v>
      </c>
      <c r="J63" s="13" t="n">
        <v>385.8</v>
      </c>
      <c r="K63" s="13" t="n">
        <v>0.725769458597806</v>
      </c>
      <c r="L63" s="13" t="n">
        <v>0.186277553554797</v>
      </c>
      <c r="M63" s="13" t="n">
        <v>0.0145152928978745</v>
      </c>
      <c r="N63" s="11" t="n">
        <v>0.72</v>
      </c>
      <c r="O63" s="11" t="s">
        <v>271</v>
      </c>
      <c r="P63" s="11" t="n">
        <v>70.525788884336</v>
      </c>
      <c r="Q63" s="15" t="n">
        <v>0.0504378121307844</v>
      </c>
      <c r="R63" s="15" t="n">
        <v>1.75386531006338</v>
      </c>
      <c r="S63" s="11" t="n">
        <v>52.24</v>
      </c>
      <c r="T63" s="11" t="n">
        <v>32.37</v>
      </c>
      <c r="U63" s="11" t="s">
        <v>173</v>
      </c>
      <c r="V63" s="11" t="s">
        <v>173</v>
      </c>
      <c r="W63" s="11" t="s">
        <v>185</v>
      </c>
      <c r="X63" s="11" t="s">
        <v>173</v>
      </c>
      <c r="Y63" s="11" t="s">
        <v>173</v>
      </c>
      <c r="Z63" s="15" t="n">
        <v>1</v>
      </c>
      <c r="AA63" s="11" t="n">
        <v>346</v>
      </c>
      <c r="AB63" s="11" t="s">
        <v>173</v>
      </c>
      <c r="AC63" s="15" t="n">
        <v>1.96212121212121</v>
      </c>
      <c r="AD63" s="15" t="n">
        <v>0.956152433425161</v>
      </c>
      <c r="AE63" s="15" t="n">
        <v>1.05396869650536</v>
      </c>
      <c r="AF63" s="16" t="s">
        <v>173</v>
      </c>
      <c r="AG63" s="16" t="s">
        <v>173</v>
      </c>
      <c r="AH63" s="16" t="s">
        <v>173</v>
      </c>
      <c r="AI63" s="16" t="s">
        <v>173</v>
      </c>
      <c r="AJ63" s="16" t="s">
        <v>173</v>
      </c>
      <c r="AK63" s="16" t="s">
        <v>173</v>
      </c>
      <c r="AL63" s="16" t="s">
        <v>173</v>
      </c>
      <c r="AM63" s="16" t="s">
        <v>173</v>
      </c>
      <c r="AN63" s="17" t="n">
        <v>0.0673031428447589</v>
      </c>
      <c r="AO63" s="18" t="n">
        <v>0.000302557561053162</v>
      </c>
      <c r="AP63" s="16" t="n">
        <v>0.0832058292120552</v>
      </c>
      <c r="AQ63" s="17" t="n">
        <v>13.0586073552551</v>
      </c>
      <c r="AR63" s="16" t="n">
        <v>8.95487787660596</v>
      </c>
      <c r="AS63" s="24" t="n">
        <v>0</v>
      </c>
      <c r="AT63" s="24" t="n">
        <v>0.0764331210191083</v>
      </c>
      <c r="AU63" s="24" t="n">
        <v>0.646624203821656</v>
      </c>
      <c r="AV63" s="24" t="n">
        <v>0.0356687898089172</v>
      </c>
      <c r="AW63" s="24" t="n">
        <v>0.0634394904458599</v>
      </c>
      <c r="AX63" s="24" t="n">
        <v>1.04535031847134</v>
      </c>
      <c r="AY63" s="24" t="n">
        <v>0.190932293240328</v>
      </c>
      <c r="AZ63" s="19" t="n">
        <v>0.287898089171975</v>
      </c>
      <c r="BA63" s="19" t="n">
        <v>4.85605095541401</v>
      </c>
      <c r="BB63" s="19" t="n">
        <v>1.74817598701445</v>
      </c>
      <c r="BC63" s="19" t="n">
        <v>0.799490445859873</v>
      </c>
      <c r="BD63" s="19" t="n">
        <v>0.318726114649682</v>
      </c>
      <c r="BE63" s="19" t="n">
        <v>0.273630573248408</v>
      </c>
      <c r="BF63" s="20" t="n">
        <v>1.86751592356688</v>
      </c>
      <c r="BG63" s="20" t="n">
        <v>8.47490445859873</v>
      </c>
      <c r="BH63" s="20" t="n">
        <v>1.22089171974522</v>
      </c>
      <c r="BI63" s="20" t="n">
        <v>9.12152866242038</v>
      </c>
      <c r="BJ63" s="20" t="n">
        <v>1.61662726556344</v>
      </c>
      <c r="BK63" s="20" t="n">
        <v>10.3424203821656</v>
      </c>
    </row>
    <row r="64" customFormat="false" ht="12.8" hidden="false" customHeight="false" outlineLevel="0" collapsed="false">
      <c r="A64" s="11" t="s">
        <v>272</v>
      </c>
      <c r="B64" s="12" t="n">
        <v>43286</v>
      </c>
      <c r="C64" s="25" t="n">
        <v>7</v>
      </c>
      <c r="D64" s="11" t="s">
        <v>227</v>
      </c>
      <c r="E64" s="11" t="s">
        <v>175</v>
      </c>
      <c r="F64" s="11" t="n">
        <v>38</v>
      </c>
      <c r="G64" s="11" t="n">
        <v>414.17</v>
      </c>
      <c r="H64" s="11" t="n">
        <v>7.1</v>
      </c>
      <c r="I64" s="11" t="n">
        <v>1.71427191732863</v>
      </c>
      <c r="J64" s="13" t="n">
        <v>409.94</v>
      </c>
      <c r="K64" s="13" t="n">
        <v>0.747084123050007</v>
      </c>
      <c r="L64" s="13" t="n">
        <v>1.02131974792959</v>
      </c>
      <c r="M64" s="13" t="n">
        <v>0.0173196077474752</v>
      </c>
      <c r="N64" s="11" t="n">
        <v>4.23</v>
      </c>
      <c r="O64" s="11" t="s">
        <v>273</v>
      </c>
      <c r="P64" s="11" t="s">
        <v>173</v>
      </c>
      <c r="Q64" s="15" t="n">
        <v>0.0726049186445412</v>
      </c>
      <c r="R64" s="15" t="n">
        <v>3.11808513311048</v>
      </c>
      <c r="S64" s="11" t="n">
        <v>52.35</v>
      </c>
      <c r="T64" s="11" t="s">
        <v>173</v>
      </c>
      <c r="U64" s="11" t="s">
        <v>173</v>
      </c>
      <c r="V64" s="11" t="s">
        <v>173</v>
      </c>
      <c r="W64" s="11" t="s">
        <v>185</v>
      </c>
      <c r="X64" s="11" t="s">
        <v>249</v>
      </c>
      <c r="Y64" s="11" t="s">
        <v>173</v>
      </c>
      <c r="Z64" s="15" t="n">
        <v>3</v>
      </c>
      <c r="AA64" s="11" t="s">
        <v>173</v>
      </c>
      <c r="AB64" s="11" t="n">
        <v>28</v>
      </c>
      <c r="AC64" s="15" t="n">
        <v>1.97690217391304</v>
      </c>
      <c r="AD64" s="15" t="n">
        <v>0.903925619834711</v>
      </c>
      <c r="AE64" s="15" t="n">
        <v>4.43476622884164</v>
      </c>
      <c r="AF64" s="16" t="n">
        <v>2</v>
      </c>
      <c r="AG64" s="16" t="n">
        <v>105</v>
      </c>
      <c r="AH64" s="16" t="n">
        <v>103</v>
      </c>
      <c r="AI64" s="16" t="n">
        <v>2</v>
      </c>
      <c r="AJ64" s="16" t="n">
        <v>0</v>
      </c>
      <c r="AK64" s="16" t="n">
        <v>0</v>
      </c>
      <c r="AL64" s="16" t="n">
        <v>0</v>
      </c>
      <c r="AM64" s="26" t="n">
        <v>1.01904761904762</v>
      </c>
      <c r="AN64" s="17" t="n">
        <v>0.105690222796561</v>
      </c>
      <c r="AO64" s="18" t="n">
        <v>0.00154859778244101</v>
      </c>
      <c r="AP64" s="16" t="n">
        <v>0.053439440890382</v>
      </c>
      <c r="AQ64" s="17" t="n">
        <v>5.47617480343756</v>
      </c>
      <c r="AR64" s="16" t="n">
        <v>7.24661215590079</v>
      </c>
      <c r="AS64" s="24" t="n">
        <v>0.0622861586314152</v>
      </c>
      <c r="AT64" s="24" t="n">
        <v>0.0139968895800933</v>
      </c>
      <c r="AU64" s="24" t="n">
        <v>0.766096423017107</v>
      </c>
      <c r="AV64" s="24" t="n">
        <v>0.0237947122861586</v>
      </c>
      <c r="AW64" s="24" t="n">
        <v>0.00513219284603422</v>
      </c>
      <c r="AX64" s="24" t="n">
        <v>0.315396578538103</v>
      </c>
      <c r="AY64" s="24" t="n">
        <v>0.0453265940902022</v>
      </c>
      <c r="AZ64" s="19" t="n">
        <v>0.120419906687403</v>
      </c>
      <c r="BA64" s="19" t="n">
        <v>1.7542768273717</v>
      </c>
      <c r="BB64" s="19" t="n">
        <v>1.94790046656299</v>
      </c>
      <c r="BC64" s="19" t="n">
        <v>0.576671850699844</v>
      </c>
      <c r="BD64" s="19" t="n">
        <v>1.80956454121306</v>
      </c>
      <c r="BE64" s="19" t="n">
        <v>0.391679626749611</v>
      </c>
      <c r="BF64" s="20" t="n">
        <v>1.18670295489891</v>
      </c>
      <c r="BG64" s="20" t="n">
        <v>6.64583981337481</v>
      </c>
      <c r="BH64" s="20" t="n">
        <v>0.420606531881804</v>
      </c>
      <c r="BI64" s="20" t="n">
        <v>7.41193623639191</v>
      </c>
      <c r="BJ64" s="20" t="n">
        <v>0.411693057247259</v>
      </c>
      <c r="BK64" s="20" t="n">
        <v>7.83254276827372</v>
      </c>
      <c r="BL64" s="7" t="s">
        <v>224</v>
      </c>
      <c r="BM64" s="7" t="s">
        <v>223</v>
      </c>
      <c r="BN64" s="7" t="s">
        <v>223</v>
      </c>
      <c r="BO64" s="7" t="s">
        <v>223</v>
      </c>
      <c r="BP64" s="7" t="s">
        <v>223</v>
      </c>
      <c r="BQ64" s="7" t="s">
        <v>223</v>
      </c>
      <c r="BR64" s="7" t="s">
        <v>223</v>
      </c>
      <c r="BS64" s="7" t="s">
        <v>223</v>
      </c>
      <c r="BT64" s="7" t="n">
        <v>2.28056472498836</v>
      </c>
      <c r="BU64" s="7" t="s">
        <v>224</v>
      </c>
      <c r="BV64" s="7" t="s">
        <v>223</v>
      </c>
      <c r="BW64" s="7" t="n">
        <v>12.7650088511102</v>
      </c>
      <c r="BX64" s="7" t="s">
        <v>223</v>
      </c>
      <c r="BY64" s="7" t="n">
        <v>41.9838014299936</v>
      </c>
      <c r="BZ64" s="7" t="s">
        <v>223</v>
      </c>
      <c r="CA64" s="7" t="s">
        <v>224</v>
      </c>
      <c r="CB64" s="7" t="s">
        <v>223</v>
      </c>
      <c r="CC64" s="7" t="s">
        <v>223</v>
      </c>
      <c r="CD64" s="7" t="s">
        <v>223</v>
      </c>
      <c r="CE64" s="7" t="s">
        <v>224</v>
      </c>
      <c r="CF64" s="7" t="s">
        <v>223</v>
      </c>
      <c r="CG64" s="7" t="s">
        <v>223</v>
      </c>
      <c r="CH64" s="7" t="s">
        <v>223</v>
      </c>
      <c r="CI64" s="7" t="s">
        <v>223</v>
      </c>
      <c r="CJ64" s="10" t="n">
        <f aca="false">SUM(BL64:CI64)</f>
        <v>57.0293750060922</v>
      </c>
      <c r="CK64" s="7" t="s">
        <v>223</v>
      </c>
      <c r="CL64" s="7" t="s">
        <v>223</v>
      </c>
      <c r="CM64" s="7" t="s">
        <v>223</v>
      </c>
      <c r="CN64" s="7" t="s">
        <v>224</v>
      </c>
      <c r="CO64" s="7" t="n">
        <v>2.84803595199338</v>
      </c>
      <c r="CP64" s="7" t="s">
        <v>223</v>
      </c>
      <c r="CQ64" s="7" t="n">
        <v>5.65623449148603</v>
      </c>
      <c r="CR64" s="7" t="n">
        <v>18.4738795833685</v>
      </c>
      <c r="CS64" s="7" t="n">
        <v>21.8608224899993</v>
      </c>
      <c r="CT64" s="7" t="s">
        <v>224</v>
      </c>
      <c r="CU64" s="7" t="n">
        <v>78.9853834838326</v>
      </c>
      <c r="CV64" s="7" t="n">
        <v>17.4697225069938</v>
      </c>
      <c r="CW64" s="7" t="n">
        <v>77.9694447046119</v>
      </c>
      <c r="CX64" s="7" t="n">
        <v>67.913973226716</v>
      </c>
      <c r="CY64" s="7" t="n">
        <v>14.1024440252569</v>
      </c>
      <c r="CZ64" s="7" t="n">
        <v>11.6095543676849</v>
      </c>
      <c r="DA64" s="7" t="n">
        <v>6.29795587455623</v>
      </c>
      <c r="DB64" s="7" t="n">
        <v>240.674506725954</v>
      </c>
      <c r="DC64" s="7" t="n">
        <v>56.6821961941709</v>
      </c>
      <c r="DD64" s="7" t="n">
        <v>400.131802503061</v>
      </c>
      <c r="DE64" s="7" t="s">
        <v>224</v>
      </c>
      <c r="DF64" s="7" t="s">
        <v>223</v>
      </c>
      <c r="DG64" s="7" t="n">
        <v>17.3793678650241</v>
      </c>
      <c r="DH64" s="7" t="n">
        <v>91.3098922652273</v>
      </c>
      <c r="DI64" s="7" t="n">
        <v>85.8052942226004</v>
      </c>
      <c r="DJ64" s="7" t="n">
        <v>14.2596746639566</v>
      </c>
      <c r="DK64" s="10" t="n">
        <f aca="false">SUM(CK64:DJ64)</f>
        <v>1229.43018514649</v>
      </c>
      <c r="DL64" s="7" t="s">
        <v>223</v>
      </c>
      <c r="DM64" s="7" t="s">
        <v>223</v>
      </c>
      <c r="DN64" s="7" t="s">
        <v>223</v>
      </c>
      <c r="DO64" s="7" t="s">
        <v>223</v>
      </c>
      <c r="DP64" s="7" t="s">
        <v>223</v>
      </c>
      <c r="DQ64" s="7" t="s">
        <v>223</v>
      </c>
      <c r="DR64" s="7" t="s">
        <v>223</v>
      </c>
      <c r="DS64" s="7" t="s">
        <v>223</v>
      </c>
      <c r="DT64" s="7" t="s">
        <v>223</v>
      </c>
      <c r="DU64" s="7" t="s">
        <v>223</v>
      </c>
      <c r="DV64" s="7" t="s">
        <v>223</v>
      </c>
      <c r="DW64" s="7" t="n">
        <v>9.02537770316974</v>
      </c>
      <c r="DX64" s="7" t="s">
        <v>223</v>
      </c>
      <c r="DY64" s="7" t="s">
        <v>224</v>
      </c>
      <c r="DZ64" s="7" t="s">
        <v>223</v>
      </c>
      <c r="EA64" s="7" t="s">
        <v>223</v>
      </c>
      <c r="EB64" s="7" t="s">
        <v>223</v>
      </c>
      <c r="EC64" s="7" t="s">
        <v>224</v>
      </c>
      <c r="ED64" s="7" t="s">
        <v>224</v>
      </c>
      <c r="EE64" s="7" t="s">
        <v>223</v>
      </c>
      <c r="EF64" s="7" t="s">
        <v>223</v>
      </c>
      <c r="EG64" s="7" t="s">
        <v>223</v>
      </c>
      <c r="EH64" s="7" t="s">
        <v>223</v>
      </c>
      <c r="EI64" s="7" t="s">
        <v>223</v>
      </c>
      <c r="EJ64" s="7" t="s">
        <v>223</v>
      </c>
      <c r="EK64" s="7" t="s">
        <v>223</v>
      </c>
      <c r="EL64" s="7" t="s">
        <v>223</v>
      </c>
      <c r="EM64" s="10" t="n">
        <f aca="false">SUM(DL64:EL64)</f>
        <v>9.02537770316974</v>
      </c>
      <c r="EN64" s="7" t="s">
        <v>223</v>
      </c>
      <c r="EO64" s="7" t="n">
        <v>5.0040028123518</v>
      </c>
      <c r="EP64" s="7" t="s">
        <v>223</v>
      </c>
      <c r="EQ64" s="7" t="s">
        <v>223</v>
      </c>
      <c r="ER64" s="7" t="s">
        <v>223</v>
      </c>
      <c r="ES64" s="7" t="s">
        <v>223</v>
      </c>
      <c r="ET64" s="7" t="s">
        <v>223</v>
      </c>
      <c r="EU64" s="27" t="n">
        <f aca="false">SUM(EN64:ET64)</f>
        <v>5.0040028123518</v>
      </c>
    </row>
    <row r="65" customFormat="false" ht="12.8" hidden="false" customHeight="false" outlineLevel="0" collapsed="false">
      <c r="A65" s="11" t="s">
        <v>274</v>
      </c>
      <c r="B65" s="12" t="n">
        <v>43286</v>
      </c>
      <c r="C65" s="25" t="n">
        <v>7</v>
      </c>
      <c r="D65" s="11" t="s">
        <v>227</v>
      </c>
      <c r="E65" s="11" t="s">
        <v>175</v>
      </c>
      <c r="F65" s="11" t="n">
        <v>38.5</v>
      </c>
      <c r="G65" s="11" t="n">
        <v>468.3</v>
      </c>
      <c r="H65" s="11" t="n">
        <v>7.8</v>
      </c>
      <c r="I65" s="11" t="n">
        <v>1.66559897501602</v>
      </c>
      <c r="J65" s="13" t="n">
        <v>462.07</v>
      </c>
      <c r="K65" s="13" t="n">
        <v>0.809702694000215</v>
      </c>
      <c r="L65" s="13" t="n">
        <v>1.33034379671151</v>
      </c>
      <c r="M65" s="13" t="n">
        <v>0.0168805592226286</v>
      </c>
      <c r="N65" s="11" t="n">
        <v>6.23</v>
      </c>
      <c r="O65" s="11" t="s">
        <v>275</v>
      </c>
      <c r="P65" s="11" t="s">
        <v>173</v>
      </c>
      <c r="Q65" s="15" t="n">
        <v>0.0369908224276415</v>
      </c>
      <c r="R65" s="15" t="n">
        <v>5.75638220363592</v>
      </c>
      <c r="S65" s="11" t="n">
        <v>44.49</v>
      </c>
      <c r="T65" s="11" t="s">
        <v>173</v>
      </c>
      <c r="U65" s="11" t="s">
        <v>173</v>
      </c>
      <c r="V65" s="11" t="s">
        <v>173</v>
      </c>
      <c r="W65" s="11" t="s">
        <v>185</v>
      </c>
      <c r="X65" s="11" t="s">
        <v>173</v>
      </c>
      <c r="Y65" s="11" t="s">
        <v>173</v>
      </c>
      <c r="Z65" s="15" t="n">
        <v>1</v>
      </c>
      <c r="AA65" s="11" t="s">
        <v>173</v>
      </c>
      <c r="AB65" s="11" t="n">
        <v>12</v>
      </c>
      <c r="AC65" s="15" t="n">
        <v>2.35137533274179</v>
      </c>
      <c r="AD65" s="15" t="n">
        <v>0.666896235078053</v>
      </c>
      <c r="AE65" s="15" t="n">
        <v>0.590029573979667</v>
      </c>
      <c r="AF65" s="16" t="n">
        <v>2</v>
      </c>
      <c r="AG65" s="16" t="n">
        <v>134</v>
      </c>
      <c r="AH65" s="16" t="n">
        <v>67</v>
      </c>
      <c r="AI65" s="16" t="n">
        <v>63</v>
      </c>
      <c r="AJ65" s="16" t="n">
        <v>0</v>
      </c>
      <c r="AK65" s="16" t="n">
        <v>0</v>
      </c>
      <c r="AL65" s="16" t="n">
        <v>4</v>
      </c>
      <c r="AM65" s="26" t="n">
        <v>1.48461538461538</v>
      </c>
      <c r="AN65" s="17" t="n">
        <v>0.0929266778842418</v>
      </c>
      <c r="AO65" s="18" t="n">
        <v>0.000112475513478369</v>
      </c>
      <c r="AP65" s="16" t="n">
        <v>0.070471961393252</v>
      </c>
      <c r="AQ65" s="17" t="n">
        <v>11.4186073552551</v>
      </c>
      <c r="AR65" s="16" t="n">
        <v>8.69487787660596</v>
      </c>
      <c r="AS65" s="24" t="n">
        <v>0</v>
      </c>
      <c r="AT65" s="24" t="n">
        <v>0.0421216848673947</v>
      </c>
      <c r="AU65" s="24" t="n">
        <v>0.702964118564743</v>
      </c>
      <c r="AV65" s="24" t="n">
        <v>0.0184867394695788</v>
      </c>
      <c r="AW65" s="24" t="n">
        <v>0.0758190327613104</v>
      </c>
      <c r="AX65" s="24" t="n">
        <v>1.56154446177847</v>
      </c>
      <c r="AY65" s="24" t="n">
        <v>0.0837321536834208</v>
      </c>
      <c r="AZ65" s="19" t="n">
        <v>0.168439937597504</v>
      </c>
      <c r="BA65" s="19" t="n">
        <v>5.75897035881435</v>
      </c>
      <c r="BB65" s="19" t="n">
        <v>1.72516020201081</v>
      </c>
      <c r="BC65" s="19" t="n">
        <v>0.768954758190328</v>
      </c>
      <c r="BD65" s="19" t="n">
        <v>0.249219968798752</v>
      </c>
      <c r="BE65" s="19" t="n">
        <v>0.334165366614665</v>
      </c>
      <c r="BF65" s="20" t="n">
        <v>2.4009360374415</v>
      </c>
      <c r="BG65" s="20" t="n">
        <v>9.08864274570983</v>
      </c>
      <c r="BH65" s="20" t="n">
        <v>1.69797191887675</v>
      </c>
      <c r="BI65" s="20" t="n">
        <v>9.79160686427457</v>
      </c>
      <c r="BJ65" s="20" t="n">
        <v>2.22137150466045</v>
      </c>
      <c r="BK65" s="20" t="n">
        <v>11.4895787831513</v>
      </c>
    </row>
    <row r="66" customFormat="false" ht="12.8" hidden="false" customHeight="false" outlineLevel="0" collapsed="false">
      <c r="A66" s="11" t="s">
        <v>276</v>
      </c>
      <c r="B66" s="12" t="n">
        <v>43286</v>
      </c>
      <c r="C66" s="25" t="n">
        <v>7</v>
      </c>
      <c r="D66" s="11" t="s">
        <v>227</v>
      </c>
      <c r="E66" s="11" t="s">
        <v>175</v>
      </c>
      <c r="F66" s="11" t="n">
        <v>33.6</v>
      </c>
      <c r="G66" s="11" t="n">
        <v>376.19</v>
      </c>
      <c r="H66" s="11" t="n">
        <v>10.1</v>
      </c>
      <c r="I66" s="11" t="n">
        <v>2.68481352508041</v>
      </c>
      <c r="J66" s="13" t="n">
        <v>370.87</v>
      </c>
      <c r="K66" s="13" t="n">
        <v>0.977696075950221</v>
      </c>
      <c r="L66" s="13" t="n">
        <v>1.41417900528988</v>
      </c>
      <c r="M66" s="13" t="n">
        <v>0.027233262329118</v>
      </c>
      <c r="N66" s="11" t="n">
        <v>5.32</v>
      </c>
      <c r="O66" s="11"/>
      <c r="P66" s="11" t="n">
        <v>113.125908223646</v>
      </c>
      <c r="Q66" s="15" t="n">
        <v>0.0575919163313216</v>
      </c>
      <c r="R66" s="15" t="n">
        <v>16.1798094872206</v>
      </c>
      <c r="S66" s="11" t="s">
        <v>198</v>
      </c>
      <c r="T66" s="11" t="s">
        <v>173</v>
      </c>
      <c r="U66" s="11" t="s">
        <v>172</v>
      </c>
      <c r="V66" s="11" t="s">
        <v>173</v>
      </c>
      <c r="W66" s="11" t="s">
        <v>185</v>
      </c>
      <c r="X66" s="11" t="s">
        <v>249</v>
      </c>
      <c r="Y66" s="11" t="s">
        <v>173</v>
      </c>
      <c r="Z66" s="15" t="n">
        <v>4</v>
      </c>
      <c r="AA66" s="11" t="s">
        <v>173</v>
      </c>
      <c r="AB66" s="11" t="n">
        <v>24</v>
      </c>
      <c r="AC66" s="15" t="n">
        <v>1.84635722679201</v>
      </c>
      <c r="AD66" s="15" t="n">
        <v>0.89589072543618</v>
      </c>
      <c r="AE66" s="15" t="n">
        <v>0</v>
      </c>
      <c r="AF66" s="16" t="n">
        <v>2</v>
      </c>
      <c r="AG66" s="16" t="n">
        <v>113</v>
      </c>
      <c r="AH66" s="16" t="n">
        <v>71</v>
      </c>
      <c r="AI66" s="16" t="n">
        <v>42</v>
      </c>
      <c r="AJ66" s="16" t="n">
        <v>0</v>
      </c>
      <c r="AK66" s="16" t="n">
        <v>0</v>
      </c>
      <c r="AL66" s="16" t="n">
        <v>0</v>
      </c>
      <c r="AM66" s="26" t="n">
        <v>1.3716814159292</v>
      </c>
      <c r="AN66" s="17" t="n">
        <v>0.279455477439078</v>
      </c>
      <c r="AO66" s="18" t="n">
        <v>0.000616631261148887</v>
      </c>
      <c r="AP66" s="16" t="n">
        <v>0.174622759991089</v>
      </c>
      <c r="AQ66" s="17" t="n">
        <v>8.41860735525508</v>
      </c>
      <c r="AR66" s="16" t="n">
        <v>8.95487787660596</v>
      </c>
      <c r="AS66" s="24" t="n">
        <v>0</v>
      </c>
      <c r="AT66" s="24" t="n">
        <v>0.107785795670338</v>
      </c>
      <c r="AU66" s="24" t="n">
        <v>0.676794530953285</v>
      </c>
      <c r="AV66" s="24" t="n">
        <v>0.0341815419673376</v>
      </c>
      <c r="AW66" s="24" t="n">
        <v>0.261830611469806</v>
      </c>
      <c r="AX66" s="24" t="n">
        <v>11.4131967097989</v>
      </c>
      <c r="AY66" s="24" t="n">
        <v>0.152980726026137</v>
      </c>
      <c r="AZ66" s="19" t="n">
        <v>0.272768704899354</v>
      </c>
      <c r="BA66" s="19" t="n">
        <v>7.97569312571212</v>
      </c>
      <c r="BB66" s="19" t="n">
        <v>2.29213890937075</v>
      </c>
      <c r="BC66" s="19" t="n">
        <v>0.835169008735283</v>
      </c>
      <c r="BD66" s="19" t="n">
        <v>0.358678313710596</v>
      </c>
      <c r="BE66" s="19" t="n">
        <v>0.39992404101785</v>
      </c>
      <c r="BF66" s="20" t="n">
        <v>12.4937891898597</v>
      </c>
      <c r="BG66" s="20" t="n">
        <v>12.2873528294721</v>
      </c>
      <c r="BH66" s="20" t="n">
        <v>11.8169946589064</v>
      </c>
      <c r="BI66" s="20" t="n">
        <v>12.9641473604254</v>
      </c>
      <c r="BJ66" s="20" t="n">
        <v>16.863606586364</v>
      </c>
      <c r="BK66" s="20" t="n">
        <v>24.7811420193318</v>
      </c>
    </row>
    <row r="67" customFormat="false" ht="12.8" hidden="false" customHeight="false" outlineLevel="0" collapsed="false">
      <c r="A67" s="11" t="s">
        <v>277</v>
      </c>
      <c r="B67" s="12" t="n">
        <v>43286</v>
      </c>
      <c r="C67" s="25" t="n">
        <v>7</v>
      </c>
      <c r="D67" s="11" t="s">
        <v>227</v>
      </c>
      <c r="E67" s="11" t="s">
        <v>170</v>
      </c>
      <c r="F67" s="11" t="n">
        <v>33.7</v>
      </c>
      <c r="G67" s="11" t="n">
        <v>376.24</v>
      </c>
      <c r="H67" s="11" t="n">
        <v>7.4</v>
      </c>
      <c r="I67" s="11" t="n">
        <v>1.96682968318095</v>
      </c>
      <c r="J67" s="13" t="n">
        <v>375.78</v>
      </c>
      <c r="K67" s="13" t="n">
        <v>0.981847320990993</v>
      </c>
      <c r="L67" s="13" t="n">
        <v>0.122262385711248</v>
      </c>
      <c r="M67" s="13" t="n">
        <v>0.0196923731970834</v>
      </c>
      <c r="N67" s="11" t="n">
        <v>0.46</v>
      </c>
      <c r="O67" s="11"/>
      <c r="P67" s="11" t="s">
        <v>173</v>
      </c>
      <c r="Q67" s="15" t="n">
        <v>0.0556581346487515</v>
      </c>
      <c r="R67" s="15" t="n">
        <v>5.08222334166093</v>
      </c>
      <c r="S67" s="11" t="n">
        <v>40.91</v>
      </c>
      <c r="T67" s="11" t="n">
        <v>26.24</v>
      </c>
      <c r="U67" s="11" t="s">
        <v>182</v>
      </c>
      <c r="V67" s="11" t="s">
        <v>173</v>
      </c>
      <c r="W67" s="11" t="s">
        <v>173</v>
      </c>
      <c r="X67" s="11" t="s">
        <v>173</v>
      </c>
      <c r="Y67" s="11" t="s">
        <v>173</v>
      </c>
      <c r="Z67" s="15" t="n">
        <v>1</v>
      </c>
      <c r="AA67" s="11" t="n">
        <v>548</v>
      </c>
      <c r="AB67" s="11" t="s">
        <v>173</v>
      </c>
      <c r="AC67" s="15" t="n">
        <v>2.08453757225434</v>
      </c>
      <c r="AD67" s="15" t="n">
        <v>0.767332415059688</v>
      </c>
      <c r="AE67" s="15" t="n">
        <v>0.60731198117448</v>
      </c>
      <c r="AF67" s="16" t="s">
        <v>173</v>
      </c>
      <c r="AG67" s="16" t="s">
        <v>173</v>
      </c>
      <c r="AH67" s="16" t="s">
        <v>173</v>
      </c>
      <c r="AI67" s="16" t="s">
        <v>173</v>
      </c>
      <c r="AJ67" s="16" t="s">
        <v>173</v>
      </c>
      <c r="AK67" s="16" t="s">
        <v>173</v>
      </c>
      <c r="AL67" s="16" t="s">
        <v>173</v>
      </c>
      <c r="AM67" s="16" t="s">
        <v>173</v>
      </c>
      <c r="AN67" s="17" t="n">
        <v>0.0723434631446282</v>
      </c>
      <c r="AO67" s="18" t="n">
        <v>0.00019603360329971</v>
      </c>
      <c r="AP67" s="16" t="n">
        <v>0.101684311400705</v>
      </c>
      <c r="AQ67" s="17" t="n">
        <v>15.7786073552551</v>
      </c>
      <c r="AR67" s="16" t="n">
        <v>9.95487787660596</v>
      </c>
      <c r="AS67" s="24" t="n">
        <v>0</v>
      </c>
      <c r="AT67" s="24" t="n">
        <v>0.0657497781721384</v>
      </c>
      <c r="AU67" s="24" t="n">
        <v>0.755456965394854</v>
      </c>
      <c r="AV67" s="24" t="n">
        <v>0.0106477373558119</v>
      </c>
      <c r="AW67" s="24" t="n">
        <v>0.0684117125110914</v>
      </c>
      <c r="AX67" s="24" t="n">
        <v>9.30878438331854</v>
      </c>
      <c r="AY67" s="24" t="n">
        <v>0.121240652905224</v>
      </c>
      <c r="AZ67" s="19" t="n">
        <v>0.324489795918367</v>
      </c>
      <c r="BA67" s="19" t="n">
        <v>9.55634427684117</v>
      </c>
      <c r="BB67" s="19" t="n">
        <v>2.92933609953488</v>
      </c>
      <c r="BC67" s="19" t="n">
        <v>1.09165927240461</v>
      </c>
      <c r="BD67" s="19" t="n">
        <v>0.370008873114463</v>
      </c>
      <c r="BE67" s="19" t="n">
        <v>0.309849157054126</v>
      </c>
      <c r="BF67" s="20" t="n">
        <v>10.2090505767524</v>
      </c>
      <c r="BG67" s="20" t="n">
        <v>14.7029281277728</v>
      </c>
      <c r="BH67" s="20" t="n">
        <v>9.45359361135759</v>
      </c>
      <c r="BI67" s="20" t="n">
        <v>15.4583850931677</v>
      </c>
      <c r="BJ67" s="20" t="n">
        <v>12.3220577871741</v>
      </c>
      <c r="BK67" s="20" t="n">
        <v>24.9119787045253</v>
      </c>
    </row>
    <row r="68" customFormat="false" ht="12.8" hidden="false" customHeight="false" outlineLevel="0" collapsed="false">
      <c r="A68" s="11" t="s">
        <v>278</v>
      </c>
      <c r="B68" s="12" t="n">
        <v>43286</v>
      </c>
      <c r="C68" s="25" t="n">
        <v>7</v>
      </c>
      <c r="D68" s="11" t="s">
        <v>227</v>
      </c>
      <c r="E68" s="11" t="s">
        <v>170</v>
      </c>
      <c r="F68" s="11" t="n">
        <v>30.6</v>
      </c>
      <c r="G68" s="11" t="n">
        <v>286.39</v>
      </c>
      <c r="H68" s="11" t="n">
        <v>4.7</v>
      </c>
      <c r="I68" s="11" t="n">
        <v>1.64111875414644</v>
      </c>
      <c r="J68" s="13" t="n">
        <v>286.22</v>
      </c>
      <c r="K68" s="13" t="n">
        <v>0.998931476274278</v>
      </c>
      <c r="L68" s="13" t="n">
        <v>0.0593596145116799</v>
      </c>
      <c r="M68" s="13" t="n">
        <v>0.0164209349451471</v>
      </c>
      <c r="N68" s="11" t="n">
        <v>0.17</v>
      </c>
      <c r="O68" s="11"/>
      <c r="P68" s="11" t="n">
        <v>128.972868711684</v>
      </c>
      <c r="Q68" s="15" t="n">
        <v>0.0546353869577987</v>
      </c>
      <c r="R68" s="15" t="n">
        <v>3.89068173493766</v>
      </c>
      <c r="S68" s="11" t="n">
        <v>51.35</v>
      </c>
      <c r="T68" s="11" t="n">
        <v>21.35</v>
      </c>
      <c r="U68" s="11" t="s">
        <v>173</v>
      </c>
      <c r="V68" s="11" t="s">
        <v>173</v>
      </c>
      <c r="W68" s="11" t="s">
        <v>173</v>
      </c>
      <c r="X68" s="11" t="s">
        <v>173</v>
      </c>
      <c r="Y68" s="11" t="s">
        <v>173</v>
      </c>
      <c r="Z68" s="15" t="n">
        <v>3</v>
      </c>
      <c r="AA68" s="11" t="n">
        <v>532</v>
      </c>
      <c r="AB68" s="11" t="s">
        <v>173</v>
      </c>
      <c r="AC68" s="15" t="n">
        <v>2.17120853080569</v>
      </c>
      <c r="AD68" s="15" t="n">
        <v>1.16907713498623</v>
      </c>
      <c r="AE68" s="15" t="n">
        <v>0</v>
      </c>
      <c r="AF68" s="16" t="s">
        <v>173</v>
      </c>
      <c r="AG68" s="16" t="s">
        <v>173</v>
      </c>
      <c r="AH68" s="16" t="s">
        <v>173</v>
      </c>
      <c r="AI68" s="16" t="s">
        <v>173</v>
      </c>
      <c r="AJ68" s="16" t="s">
        <v>173</v>
      </c>
      <c r="AK68" s="16" t="s">
        <v>173</v>
      </c>
      <c r="AL68" s="16" t="s">
        <v>173</v>
      </c>
      <c r="AM68" s="16" t="s">
        <v>173</v>
      </c>
      <c r="AN68" s="28" t="n">
        <v>0.585367521264766</v>
      </c>
      <c r="AO68" s="18" t="n">
        <v>0.00135662604062973</v>
      </c>
      <c r="AP68" s="16" t="n">
        <v>0.0592982319095261</v>
      </c>
      <c r="AQ68" s="17" t="n">
        <v>10.8761748034376</v>
      </c>
      <c r="AR68" s="16" t="n">
        <v>10.1266121559008</v>
      </c>
      <c r="AS68" s="19" t="n">
        <v>0.0418331374853114</v>
      </c>
      <c r="AT68" s="19" t="n">
        <v>0.00587544065804935</v>
      </c>
      <c r="AU68" s="19" t="n">
        <v>0.671210340775558</v>
      </c>
      <c r="AV68" s="19" t="n">
        <v>0.0242068155111633</v>
      </c>
      <c r="AW68" s="19" t="n">
        <v>0.082021151586369</v>
      </c>
      <c r="AX68" s="19" t="n">
        <v>6.73873770791707</v>
      </c>
      <c r="AY68" s="19" t="n">
        <v>0.187198633493354</v>
      </c>
      <c r="AZ68" s="19" t="n">
        <v>0.227050528789659</v>
      </c>
      <c r="BA68" s="19" t="n">
        <v>7.96709753231492</v>
      </c>
      <c r="BB68" s="19" t="n">
        <v>2.29458750046669</v>
      </c>
      <c r="BC68" s="19" t="n">
        <v>0.818331374853114</v>
      </c>
      <c r="BD68" s="19" t="n">
        <v>0.481081081081081</v>
      </c>
      <c r="BE68" s="19" t="n">
        <v>0.34876615746181</v>
      </c>
      <c r="BF68" s="20" t="n">
        <v>7.56388459393352</v>
      </c>
      <c r="BG68" s="20" t="n">
        <v>12.3241128084606</v>
      </c>
      <c r="BH68" s="20" t="n">
        <v>6.89267425315797</v>
      </c>
      <c r="BI68" s="20" t="n">
        <v>12.9953231492362</v>
      </c>
      <c r="BJ68" s="20" t="n">
        <v>10.0396810039171</v>
      </c>
      <c r="BK68" s="20" t="n">
        <v>19.8879974023942</v>
      </c>
    </row>
    <row r="69" customFormat="false" ht="12.8" hidden="false" customHeight="false" outlineLevel="0" collapsed="false">
      <c r="A69" s="11" t="s">
        <v>279</v>
      </c>
      <c r="B69" s="12" t="n">
        <v>43286</v>
      </c>
      <c r="C69" s="25" t="n">
        <v>7</v>
      </c>
      <c r="D69" s="11" t="s">
        <v>227</v>
      </c>
      <c r="E69" s="11" t="s">
        <v>170</v>
      </c>
      <c r="F69" s="11" t="n">
        <v>31.9</v>
      </c>
      <c r="G69" s="11" t="n">
        <v>331.83</v>
      </c>
      <c r="H69" s="11" t="n">
        <v>7.1</v>
      </c>
      <c r="I69" s="11" t="n">
        <v>2.13964982069132</v>
      </c>
      <c r="J69" s="13" t="n">
        <v>331.04</v>
      </c>
      <c r="K69" s="13" t="n">
        <v>1.01978454094247</v>
      </c>
      <c r="L69" s="13" t="n">
        <v>0.238073712443118</v>
      </c>
      <c r="M69" s="13" t="n">
        <v>0.0214475592073465</v>
      </c>
      <c r="N69" s="11" t="n">
        <v>0.79</v>
      </c>
      <c r="O69" s="11" t="s">
        <v>273</v>
      </c>
      <c r="P69" s="11" t="s">
        <v>173</v>
      </c>
      <c r="Q69" s="15" t="n">
        <v>0.0539500900167038</v>
      </c>
      <c r="R69" s="15" t="n">
        <v>8.0721375807743</v>
      </c>
      <c r="S69" s="11" t="n">
        <v>43.54</v>
      </c>
      <c r="T69" s="11" t="n">
        <v>22.37</v>
      </c>
      <c r="U69" s="11" t="s">
        <v>182</v>
      </c>
      <c r="V69" s="11" t="s">
        <v>173</v>
      </c>
      <c r="W69" s="11" t="s">
        <v>185</v>
      </c>
      <c r="X69" s="11" t="s">
        <v>173</v>
      </c>
      <c r="Y69" s="11" t="s">
        <v>173</v>
      </c>
      <c r="Z69" s="15" t="n">
        <v>2</v>
      </c>
      <c r="AA69" s="11" t="n">
        <v>672</v>
      </c>
      <c r="AB69" s="11" t="s">
        <v>173</v>
      </c>
      <c r="AC69" s="15" t="n">
        <v>1.42942227516379</v>
      </c>
      <c r="AD69" s="15" t="n">
        <v>0.867768595041322</v>
      </c>
      <c r="AE69" s="15" t="n">
        <v>2.79726667912717</v>
      </c>
      <c r="AF69" s="16" t="s">
        <v>173</v>
      </c>
      <c r="AG69" s="16" t="s">
        <v>173</v>
      </c>
      <c r="AH69" s="16" t="s">
        <v>173</v>
      </c>
      <c r="AI69" s="16" t="s">
        <v>173</v>
      </c>
      <c r="AJ69" s="16" t="s">
        <v>173</v>
      </c>
      <c r="AK69" s="16" t="s">
        <v>173</v>
      </c>
      <c r="AL69" s="16" t="s">
        <v>173</v>
      </c>
      <c r="AM69" s="16" t="s">
        <v>173</v>
      </c>
      <c r="AN69" s="17" t="n">
        <v>0.051148585369867</v>
      </c>
      <c r="AO69" s="18" t="n">
        <v>0.000198152097509007</v>
      </c>
      <c r="AP69" s="16" t="n">
        <v>0.102723425262798</v>
      </c>
      <c r="AQ69" s="17" t="n">
        <v>28.4986073552551</v>
      </c>
      <c r="AR69" s="16" t="n">
        <v>9.73487787660596</v>
      </c>
      <c r="AS69" s="24" t="n">
        <v>0.0270358565737052</v>
      </c>
      <c r="AT69" s="24" t="n">
        <v>0.040398406374502</v>
      </c>
      <c r="AU69" s="24" t="n">
        <v>0.556972111553785</v>
      </c>
      <c r="AV69" s="24" t="n">
        <v>0.209163346613546</v>
      </c>
      <c r="AW69" s="24" t="n">
        <v>0.00717131474103586</v>
      </c>
      <c r="AX69" s="24" t="n">
        <v>8.51609395819128</v>
      </c>
      <c r="AY69" s="24" t="n">
        <v>0.221569721115538</v>
      </c>
      <c r="AZ69" s="19" t="n">
        <v>0.259123505976096</v>
      </c>
      <c r="BA69" s="19" t="n">
        <v>2.20565737051793</v>
      </c>
      <c r="BB69" s="19" t="n">
        <v>2.69641434262948</v>
      </c>
      <c r="BC69" s="19" t="n">
        <v>0.849800796812749</v>
      </c>
      <c r="BD69" s="19" t="n">
        <v>2.36127490039841</v>
      </c>
      <c r="BE69" s="19" t="n">
        <v>0.374103585657371</v>
      </c>
      <c r="BF69" s="20" t="n">
        <v>9.35683499404786</v>
      </c>
      <c r="BG69" s="20" t="n">
        <v>8.96794422310757</v>
      </c>
      <c r="BH69" s="20" t="n">
        <v>8.79986288249407</v>
      </c>
      <c r="BI69" s="20" t="n">
        <v>9.52491633466136</v>
      </c>
      <c r="BJ69" s="20" t="n">
        <v>15.2899827146353</v>
      </c>
      <c r="BK69" s="20" t="n">
        <v>18.3247792171554</v>
      </c>
      <c r="BL69" s="7" t="n">
        <v>26.4428385829714</v>
      </c>
      <c r="BM69" s="7" t="s">
        <v>224</v>
      </c>
      <c r="BN69" s="7" t="s">
        <v>223</v>
      </c>
      <c r="BO69" s="7" t="s">
        <v>223</v>
      </c>
      <c r="BP69" s="7" t="s">
        <v>223</v>
      </c>
      <c r="BQ69" s="7" t="s">
        <v>223</v>
      </c>
      <c r="BR69" s="7" t="s">
        <v>223</v>
      </c>
      <c r="BS69" s="7" t="s">
        <v>223</v>
      </c>
      <c r="BT69" s="7" t="n">
        <v>3.61338266934949</v>
      </c>
      <c r="BU69" s="7" t="s">
        <v>224</v>
      </c>
      <c r="BV69" s="7" t="s">
        <v>223</v>
      </c>
      <c r="BW69" s="7" t="n">
        <v>6.01793869509173</v>
      </c>
      <c r="BX69" s="7" t="s">
        <v>223</v>
      </c>
      <c r="BY69" s="7" t="n">
        <v>8.35914444753264</v>
      </c>
      <c r="BZ69" s="7" t="s">
        <v>223</v>
      </c>
      <c r="CA69" s="7" t="s">
        <v>223</v>
      </c>
      <c r="CB69" s="7" t="s">
        <v>223</v>
      </c>
      <c r="CC69" s="7" t="s">
        <v>223</v>
      </c>
      <c r="CD69" s="7" t="s">
        <v>223</v>
      </c>
      <c r="CE69" s="7" t="n">
        <v>3.050537694579</v>
      </c>
      <c r="CF69" s="7" t="s">
        <v>223</v>
      </c>
      <c r="CG69" s="7" t="s">
        <v>223</v>
      </c>
      <c r="CH69" s="7" t="s">
        <v>223</v>
      </c>
      <c r="CI69" s="7" t="s">
        <v>223</v>
      </c>
      <c r="CJ69" s="10" t="n">
        <f aca="false">SUM(BL69:CI69)</f>
        <v>47.4838420895243</v>
      </c>
      <c r="CK69" s="7" t="s">
        <v>223</v>
      </c>
      <c r="CL69" s="7" t="s">
        <v>223</v>
      </c>
      <c r="CM69" s="7" t="s">
        <v>223</v>
      </c>
      <c r="CN69" s="7" t="n">
        <v>3.27437157948223</v>
      </c>
      <c r="CO69" s="7" t="n">
        <v>5.39033816145421</v>
      </c>
      <c r="CP69" s="7" t="s">
        <v>223</v>
      </c>
      <c r="CQ69" s="7" t="n">
        <v>10.4406534274339</v>
      </c>
      <c r="CR69" s="7" t="n">
        <v>70.1438734172725</v>
      </c>
      <c r="CS69" s="7" t="n">
        <v>64.5295327366472</v>
      </c>
      <c r="CT69" s="7" t="s">
        <v>224</v>
      </c>
      <c r="CU69" s="7" t="n">
        <v>210.95022683698</v>
      </c>
      <c r="CV69" s="7" t="n">
        <v>25.6065514637918</v>
      </c>
      <c r="CW69" s="7" t="n">
        <v>155.34127823707</v>
      </c>
      <c r="CX69" s="7" t="n">
        <v>151.418901377537</v>
      </c>
      <c r="CY69" s="7" t="n">
        <v>23.3360596810165</v>
      </c>
      <c r="CZ69" s="7" t="n">
        <v>24.0157119920072</v>
      </c>
      <c r="DA69" s="7" t="n">
        <v>29.4607438676781</v>
      </c>
      <c r="DB69" s="7" t="n">
        <v>313.625224448697</v>
      </c>
      <c r="DC69" s="7" t="n">
        <v>130.948893502035</v>
      </c>
      <c r="DD69" s="7" t="n">
        <v>461.092069335553</v>
      </c>
      <c r="DE69" s="7" t="s">
        <v>224</v>
      </c>
      <c r="DF69" s="7" t="s">
        <v>223</v>
      </c>
      <c r="DG69" s="7" t="s">
        <v>224</v>
      </c>
      <c r="DH69" s="7" t="n">
        <v>51.1154636864794</v>
      </c>
      <c r="DI69" s="7" t="n">
        <v>88.3521022805059</v>
      </c>
      <c r="DJ69" s="7" t="s">
        <v>224</v>
      </c>
      <c r="DK69" s="10" t="n">
        <f aca="false">SUM(CK69:DJ69)</f>
        <v>1819.04199603164</v>
      </c>
      <c r="DL69" s="7" t="s">
        <v>223</v>
      </c>
      <c r="DM69" s="7" t="s">
        <v>223</v>
      </c>
      <c r="DN69" s="7" t="n">
        <v>4.60669471860239</v>
      </c>
      <c r="DO69" s="7" t="s">
        <v>223</v>
      </c>
      <c r="DP69" s="7" t="s">
        <v>223</v>
      </c>
      <c r="DQ69" s="7" t="s">
        <v>223</v>
      </c>
      <c r="DR69" s="7" t="s">
        <v>223</v>
      </c>
      <c r="DS69" s="7" t="s">
        <v>223</v>
      </c>
      <c r="DT69" s="7" t="s">
        <v>223</v>
      </c>
      <c r="DU69" s="7" t="s">
        <v>223</v>
      </c>
      <c r="DV69" s="7" t="s">
        <v>223</v>
      </c>
      <c r="DW69" s="7" t="n">
        <v>22.3268960105826</v>
      </c>
      <c r="DX69" s="7" t="n">
        <v>2.78072286596636</v>
      </c>
      <c r="DY69" s="7" t="n">
        <v>5.77971468599583</v>
      </c>
      <c r="DZ69" s="7" t="s">
        <v>223</v>
      </c>
      <c r="EA69" s="7" t="s">
        <v>224</v>
      </c>
      <c r="EB69" s="7" t="s">
        <v>223</v>
      </c>
      <c r="EC69" s="7" t="s">
        <v>224</v>
      </c>
      <c r="ED69" s="7" t="s">
        <v>224</v>
      </c>
      <c r="EE69" s="7" t="s">
        <v>223</v>
      </c>
      <c r="EF69" s="7" t="s">
        <v>223</v>
      </c>
      <c r="EG69" s="7" t="s">
        <v>223</v>
      </c>
      <c r="EH69" s="7" t="s">
        <v>223</v>
      </c>
      <c r="EI69" s="7" t="s">
        <v>223</v>
      </c>
      <c r="EJ69" s="7" t="s">
        <v>223</v>
      </c>
      <c r="EK69" s="7" t="s">
        <v>223</v>
      </c>
      <c r="EL69" s="7" t="s">
        <v>223</v>
      </c>
      <c r="EM69" s="10" t="n">
        <f aca="false">SUM(DL69:EL69)</f>
        <v>35.4940282811472</v>
      </c>
      <c r="EN69" s="7" t="s">
        <v>223</v>
      </c>
      <c r="EO69" s="7" t="n">
        <v>8.36482180121803</v>
      </c>
      <c r="EP69" s="7" t="s">
        <v>223</v>
      </c>
      <c r="EQ69" s="7" t="s">
        <v>223</v>
      </c>
      <c r="ER69" s="7" t="s">
        <v>223</v>
      </c>
      <c r="ES69" s="7" t="s">
        <v>223</v>
      </c>
      <c r="ET69" s="7" t="s">
        <v>223</v>
      </c>
      <c r="EU69" s="27" t="n">
        <f aca="false">SUM(EN69:ET69)</f>
        <v>8.36482180121803</v>
      </c>
    </row>
    <row r="70" customFormat="false" ht="12.8" hidden="false" customHeight="false" outlineLevel="0" collapsed="false">
      <c r="A70" s="11" t="s">
        <v>280</v>
      </c>
      <c r="B70" s="12" t="n">
        <v>43286</v>
      </c>
      <c r="C70" s="25" t="n">
        <v>7</v>
      </c>
      <c r="D70" s="11" t="s">
        <v>227</v>
      </c>
      <c r="E70" s="11" t="s">
        <v>175</v>
      </c>
      <c r="F70" s="11" t="n">
        <v>36.9</v>
      </c>
      <c r="G70" s="11" t="n">
        <v>523.16</v>
      </c>
      <c r="H70" s="11" t="n">
        <v>9.6</v>
      </c>
      <c r="I70" s="11" t="n">
        <v>1.83500267604557</v>
      </c>
      <c r="J70" s="13" t="n">
        <v>518.1</v>
      </c>
      <c r="K70" s="13" t="n">
        <v>1.03118003000155</v>
      </c>
      <c r="L70" s="13" t="n">
        <v>0.967199327165685</v>
      </c>
      <c r="M70" s="13" t="n">
        <v>0.0185292414591778</v>
      </c>
      <c r="N70" s="11" t="n">
        <v>5.06</v>
      </c>
      <c r="O70" s="11" t="s">
        <v>281</v>
      </c>
      <c r="P70" s="11" t="n">
        <v>116.059868950847</v>
      </c>
      <c r="Q70" s="15" t="n">
        <v>0.0766160852393848</v>
      </c>
      <c r="R70" s="15" t="n">
        <v>4.06050528983546</v>
      </c>
      <c r="S70" s="11" t="n">
        <v>44.03</v>
      </c>
      <c r="T70" s="11" t="s">
        <v>173</v>
      </c>
      <c r="U70" s="11" t="s">
        <v>173</v>
      </c>
      <c r="V70" s="11" t="s">
        <v>173</v>
      </c>
      <c r="W70" s="11" t="s">
        <v>173</v>
      </c>
      <c r="X70" s="11" t="s">
        <v>249</v>
      </c>
      <c r="Y70" s="11" t="s">
        <v>173</v>
      </c>
      <c r="Z70" s="15" t="n">
        <v>2</v>
      </c>
      <c r="AA70" s="11" t="s">
        <v>173</v>
      </c>
      <c r="AB70" s="11" t="n">
        <v>46</v>
      </c>
      <c r="AC70" s="15" t="n">
        <v>1.91776315789474</v>
      </c>
      <c r="AD70" s="15" t="n">
        <v>0.510215794306704</v>
      </c>
      <c r="AE70" s="15" t="n">
        <v>1.43301277160321</v>
      </c>
      <c r="AF70" s="16" t="n">
        <v>2</v>
      </c>
      <c r="AG70" s="16" t="n">
        <v>112</v>
      </c>
      <c r="AH70" s="16" t="n">
        <v>63</v>
      </c>
      <c r="AI70" s="16" t="n">
        <v>45</v>
      </c>
      <c r="AJ70" s="16" t="n">
        <v>0</v>
      </c>
      <c r="AK70" s="16" t="n">
        <v>0</v>
      </c>
      <c r="AL70" s="16" t="n">
        <v>4</v>
      </c>
      <c r="AM70" s="26" t="n">
        <v>1.41666666666667</v>
      </c>
      <c r="AN70" s="17" t="n">
        <v>0.143547031567996</v>
      </c>
      <c r="AO70" s="18" t="n">
        <v>0.000464304494972172</v>
      </c>
      <c r="AP70" s="16" t="n">
        <v>0.0814257474483836</v>
      </c>
      <c r="AQ70" s="17" t="n">
        <v>9.81860735525508</v>
      </c>
      <c r="AR70" s="16" t="n">
        <v>10.414877876606</v>
      </c>
      <c r="AS70" s="24" t="n">
        <v>0</v>
      </c>
      <c r="AT70" s="24" t="n">
        <v>0.0687871373645578</v>
      </c>
      <c r="AU70" s="24" t="n">
        <v>0.496190143306536</v>
      </c>
      <c r="AV70" s="24" t="n">
        <v>0</v>
      </c>
      <c r="AW70" s="24" t="n">
        <v>0.0721426074799021</v>
      </c>
      <c r="AX70" s="24" t="n">
        <v>2.35092624956309</v>
      </c>
      <c r="AY70" s="24" t="n">
        <v>0.117669173629374</v>
      </c>
      <c r="AZ70" s="19" t="n">
        <v>0.29674938832576</v>
      </c>
      <c r="BA70" s="19" t="n">
        <v>4.90108353722475</v>
      </c>
      <c r="BB70" s="19" t="n">
        <v>1.47177507663277</v>
      </c>
      <c r="BC70" s="19" t="n">
        <v>0.640685075148549</v>
      </c>
      <c r="BD70" s="19" t="n">
        <v>0.206193638587906</v>
      </c>
      <c r="BE70" s="19" t="n">
        <v>0.25417686123733</v>
      </c>
      <c r="BF70" s="20" t="n">
        <v>2.98804613771409</v>
      </c>
      <c r="BG70" s="20" t="n">
        <v>7.88833275078644</v>
      </c>
      <c r="BH70" s="20" t="n">
        <v>2.49185599440755</v>
      </c>
      <c r="BI70" s="20" t="n">
        <v>8.38452289409297</v>
      </c>
      <c r="BJ70" s="20" t="n">
        <v>4.73795435333897</v>
      </c>
      <c r="BK70" s="20" t="n">
        <v>10.8763788885005</v>
      </c>
    </row>
    <row r="71" customFormat="false" ht="12.8" hidden="false" customHeight="false" outlineLevel="0" collapsed="false">
      <c r="A71" s="11" t="s">
        <v>282</v>
      </c>
      <c r="B71" s="12" t="n">
        <v>43286</v>
      </c>
      <c r="C71" s="25" t="n">
        <v>7</v>
      </c>
      <c r="D71" s="11" t="s">
        <v>227</v>
      </c>
      <c r="E71" s="11" t="s">
        <v>170</v>
      </c>
      <c r="F71" s="11" t="n">
        <v>32.2</v>
      </c>
      <c r="G71" s="11" t="n">
        <v>347.05</v>
      </c>
      <c r="H71" s="11" t="n">
        <v>7.8</v>
      </c>
      <c r="I71" s="11" t="n">
        <v>2.24751476732459</v>
      </c>
      <c r="J71" s="13" t="n">
        <v>346.44</v>
      </c>
      <c r="K71" s="13" t="n">
        <v>1.03767275675901</v>
      </c>
      <c r="L71" s="13" t="n">
        <v>0.175767180521539</v>
      </c>
      <c r="M71" s="13" t="n">
        <v>0.0225147211638379</v>
      </c>
      <c r="N71" s="11" t="n">
        <v>0.61</v>
      </c>
      <c r="O71" s="11"/>
      <c r="P71" s="11" t="s">
        <v>173</v>
      </c>
      <c r="Q71" s="15" t="n">
        <v>0.0393612741004336</v>
      </c>
      <c r="R71" s="15" t="n">
        <v>4.2029872170613</v>
      </c>
      <c r="S71" s="11" t="n">
        <v>55.14</v>
      </c>
      <c r="T71" s="11" t="n">
        <v>25.84</v>
      </c>
      <c r="U71" s="11" t="s">
        <v>182</v>
      </c>
      <c r="V71" s="11" t="s">
        <v>173</v>
      </c>
      <c r="W71" s="11" t="s">
        <v>173</v>
      </c>
      <c r="X71" s="11" t="s">
        <v>173</v>
      </c>
      <c r="Y71" s="11" t="s">
        <v>173</v>
      </c>
      <c r="Z71" s="15" t="n">
        <v>1</v>
      </c>
      <c r="AA71" s="11" t="n">
        <v>166</v>
      </c>
      <c r="AB71" s="11" t="s">
        <v>173</v>
      </c>
      <c r="AC71" s="15" t="n">
        <v>1.06112637362637</v>
      </c>
      <c r="AD71" s="15" t="n">
        <v>1.02043158861341</v>
      </c>
      <c r="AE71" s="15" t="n">
        <v>0.407349342478096</v>
      </c>
      <c r="AF71" s="16" t="s">
        <v>173</v>
      </c>
      <c r="AG71" s="16" t="s">
        <v>173</v>
      </c>
      <c r="AH71" s="16" t="s">
        <v>173</v>
      </c>
      <c r="AI71" s="16" t="s">
        <v>173</v>
      </c>
      <c r="AJ71" s="16" t="s">
        <v>173</v>
      </c>
      <c r="AK71" s="16" t="s">
        <v>173</v>
      </c>
      <c r="AL71" s="16" t="s">
        <v>173</v>
      </c>
      <c r="AM71" s="16" t="s">
        <v>173</v>
      </c>
      <c r="AN71" s="17" t="n">
        <v>0.222798044066303</v>
      </c>
      <c r="AO71" s="18" t="n">
        <v>0.000584375110761858</v>
      </c>
      <c r="AP71" s="16" t="n">
        <v>0.0860047854430799</v>
      </c>
      <c r="AQ71" s="17" t="n">
        <v>11.9786073552551</v>
      </c>
      <c r="AR71" s="16" t="n">
        <v>9.77487787660596</v>
      </c>
      <c r="AS71" s="24" t="n">
        <v>0</v>
      </c>
      <c r="AT71" s="24" t="n">
        <v>0.0268311488049345</v>
      </c>
      <c r="AU71" s="24" t="n">
        <v>0.51094834232845</v>
      </c>
      <c r="AV71" s="24" t="n">
        <v>0</v>
      </c>
      <c r="AW71" s="24" t="n">
        <v>0.0457979953739399</v>
      </c>
      <c r="AX71" s="24" t="n">
        <v>3.04163454124904</v>
      </c>
      <c r="AY71" s="24" t="n">
        <v>0.125310850763256</v>
      </c>
      <c r="AZ71" s="19" t="n">
        <v>0.18106399383192</v>
      </c>
      <c r="BA71" s="19" t="n">
        <v>6.51117964533539</v>
      </c>
      <c r="BB71" s="19" t="n">
        <v>2.21084951932155</v>
      </c>
      <c r="BC71" s="19" t="n">
        <v>0.827833461835004</v>
      </c>
      <c r="BD71" s="19" t="n">
        <v>0.220339244410177</v>
      </c>
      <c r="BE71" s="19" t="n">
        <v>0.259984579799537</v>
      </c>
      <c r="BF71" s="20" t="n">
        <v>3.62521202775636</v>
      </c>
      <c r="BG71" s="20" t="n">
        <v>10.3365612952968</v>
      </c>
      <c r="BH71" s="20" t="n">
        <v>3.11426368542791</v>
      </c>
      <c r="BI71" s="20" t="n">
        <v>10.8475096376253</v>
      </c>
      <c r="BJ71" s="20" t="n">
        <v>5.95291987324581</v>
      </c>
      <c r="BK71" s="20" t="n">
        <v>13.9617733230532</v>
      </c>
    </row>
    <row r="72" customFormat="false" ht="12.8" hidden="false" customHeight="false" outlineLevel="0" collapsed="false">
      <c r="A72" s="11" t="s">
        <v>283</v>
      </c>
      <c r="B72" s="12" t="n">
        <v>43286</v>
      </c>
      <c r="C72" s="25" t="n">
        <v>7</v>
      </c>
      <c r="D72" s="11" t="s">
        <v>227</v>
      </c>
      <c r="E72" s="11" t="s">
        <v>175</v>
      </c>
      <c r="F72" s="11" t="n">
        <v>33.4</v>
      </c>
      <c r="G72" s="11" t="n">
        <v>389.8</v>
      </c>
      <c r="H72" s="11" t="n">
        <v>6.6</v>
      </c>
      <c r="I72" s="11" t="n">
        <v>1.69317598768599</v>
      </c>
      <c r="J72" s="13" t="n">
        <v>386.93</v>
      </c>
      <c r="K72" s="13" t="n">
        <v>1.03846772373715</v>
      </c>
      <c r="L72" s="13" t="n">
        <v>0.736275012827091</v>
      </c>
      <c r="M72" s="13" t="n">
        <v>0.0170573488744734</v>
      </c>
      <c r="N72" s="11" t="n">
        <v>2.87</v>
      </c>
      <c r="O72" s="11"/>
      <c r="P72" s="11" t="n">
        <v>67.2595239760319</v>
      </c>
      <c r="Q72" s="15" t="n">
        <v>0.0571022521998704</v>
      </c>
      <c r="R72" s="15" t="n">
        <v>6.60469419823919</v>
      </c>
      <c r="S72" s="11" t="n">
        <v>34.45</v>
      </c>
      <c r="T72" s="11" t="s">
        <v>173</v>
      </c>
      <c r="U72" s="11" t="s">
        <v>182</v>
      </c>
      <c r="V72" s="11" t="s">
        <v>173</v>
      </c>
      <c r="W72" s="11" t="s">
        <v>173</v>
      </c>
      <c r="X72" s="11" t="s">
        <v>173</v>
      </c>
      <c r="Y72" s="11" t="s">
        <v>173</v>
      </c>
      <c r="Z72" s="15" t="n">
        <v>1</v>
      </c>
      <c r="AA72" s="11" t="s">
        <v>173</v>
      </c>
      <c r="AB72" s="11" t="n">
        <v>47</v>
      </c>
      <c r="AC72" s="15" t="n">
        <v>3.45652173913044</v>
      </c>
      <c r="AD72" s="15" t="n">
        <v>1.23737373737374</v>
      </c>
      <c r="AE72" s="15" t="n">
        <v>1.79649534271082</v>
      </c>
      <c r="AF72" s="16" t="n">
        <v>2</v>
      </c>
      <c r="AG72" s="16" t="n">
        <v>134</v>
      </c>
      <c r="AH72" s="16" t="n">
        <v>76</v>
      </c>
      <c r="AI72" s="16" t="n">
        <v>56</v>
      </c>
      <c r="AJ72" s="16" t="n">
        <v>0</v>
      </c>
      <c r="AK72" s="16" t="n">
        <v>0</v>
      </c>
      <c r="AL72" s="16" t="n">
        <v>2</v>
      </c>
      <c r="AM72" s="26" t="n">
        <v>1.42424242424242</v>
      </c>
      <c r="AN72" s="17" t="n">
        <v>0.146545953102015</v>
      </c>
      <c r="AO72" s="18" t="n">
        <v>0.000239476233805075</v>
      </c>
      <c r="AP72" s="16" t="n">
        <v>0.0737881215188165</v>
      </c>
      <c r="AQ72" s="17" t="n">
        <v>13.0186073552551</v>
      </c>
      <c r="AR72" s="16" t="n">
        <v>9.03487787660596</v>
      </c>
      <c r="AS72" s="24" t="n">
        <v>0</v>
      </c>
      <c r="AT72" s="24" t="n">
        <v>0.0555299539170507</v>
      </c>
      <c r="AU72" s="24" t="n">
        <v>0.59147465437788</v>
      </c>
      <c r="AV72" s="24" t="n">
        <v>0.0380184331797235</v>
      </c>
      <c r="AW72" s="24" t="n">
        <v>0.047926267281106</v>
      </c>
      <c r="AX72" s="24" t="n">
        <v>7.67741935483871</v>
      </c>
      <c r="AY72" s="24" t="n">
        <v>0.0722840338882986</v>
      </c>
      <c r="AZ72" s="19" t="n">
        <v>0.0547926267281106</v>
      </c>
      <c r="BA72" s="19" t="n">
        <v>5.23041474654378</v>
      </c>
      <c r="BB72" s="19" t="n">
        <v>1.80997403062783</v>
      </c>
      <c r="BC72" s="19" t="n">
        <v>0.640322580645161</v>
      </c>
      <c r="BD72" s="19" t="n">
        <v>0.232258064516129</v>
      </c>
      <c r="BE72" s="19" t="n">
        <v>0.187488479262673</v>
      </c>
      <c r="BF72" s="20" t="n">
        <v>8.41036866359447</v>
      </c>
      <c r="BG72" s="20" t="n">
        <v>8.22753456221198</v>
      </c>
      <c r="BH72" s="20" t="n">
        <v>7.81889400921659</v>
      </c>
      <c r="BI72" s="20" t="n">
        <v>8.81900921658986</v>
      </c>
      <c r="BJ72" s="20" t="n">
        <v>12.9801324503311</v>
      </c>
      <c r="BK72" s="20" t="n">
        <v>16.6379032258065</v>
      </c>
    </row>
    <row r="73" customFormat="false" ht="12.8" hidden="false" customHeight="false" outlineLevel="0" collapsed="false">
      <c r="A73" s="11" t="s">
        <v>284</v>
      </c>
      <c r="B73" s="12" t="n">
        <v>43286</v>
      </c>
      <c r="C73" s="25" t="n">
        <v>7</v>
      </c>
      <c r="D73" s="11" t="s">
        <v>227</v>
      </c>
      <c r="E73" s="11" t="s">
        <v>175</v>
      </c>
      <c r="F73" s="11" t="n">
        <v>32.2</v>
      </c>
      <c r="G73" s="11" t="n">
        <v>353.78</v>
      </c>
      <c r="H73" s="11" t="n">
        <v>7.1</v>
      </c>
      <c r="I73" s="11" t="n">
        <v>2.00689694160213</v>
      </c>
      <c r="J73" s="13" t="n">
        <v>347.44</v>
      </c>
      <c r="K73" s="13" t="n">
        <v>1.04066800198693</v>
      </c>
      <c r="L73" s="13" t="n">
        <v>1.79207417038838</v>
      </c>
      <c r="M73" s="13" t="n">
        <v>0.020435183053189</v>
      </c>
      <c r="N73" s="11" t="n">
        <v>6.34</v>
      </c>
      <c r="O73" s="11"/>
      <c r="P73" s="11" t="n">
        <v>143.434909458726</v>
      </c>
      <c r="Q73" s="15" t="n">
        <v>0.0465369920063051</v>
      </c>
      <c r="R73" s="15" t="n">
        <v>6.65452084311005</v>
      </c>
      <c r="S73" s="11" t="s">
        <v>198</v>
      </c>
      <c r="T73" s="11" t="s">
        <v>173</v>
      </c>
      <c r="U73" s="11" t="s">
        <v>173</v>
      </c>
      <c r="V73" s="11" t="s">
        <v>173</v>
      </c>
      <c r="W73" s="11" t="s">
        <v>173</v>
      </c>
      <c r="X73" s="11" t="s">
        <v>173</v>
      </c>
      <c r="Y73" s="11" t="s">
        <v>173</v>
      </c>
      <c r="Z73" s="15" t="n">
        <v>0</v>
      </c>
      <c r="AA73" s="11" t="s">
        <v>173</v>
      </c>
      <c r="AB73" s="11" t="n">
        <v>54</v>
      </c>
      <c r="AC73" s="15" t="n">
        <v>1.81034482758621</v>
      </c>
      <c r="AD73" s="15" t="n">
        <v>0.747245179063361</v>
      </c>
      <c r="AE73" s="15" t="n">
        <v>1.30715220783198</v>
      </c>
      <c r="AF73" s="16" t="n">
        <v>2</v>
      </c>
      <c r="AG73" s="16" t="n">
        <v>132</v>
      </c>
      <c r="AH73" s="16" t="n">
        <v>65</v>
      </c>
      <c r="AI73" s="16" t="n">
        <v>59</v>
      </c>
      <c r="AJ73" s="16" t="n">
        <v>0</v>
      </c>
      <c r="AK73" s="16" t="n">
        <v>0</v>
      </c>
      <c r="AL73" s="16" t="n">
        <v>8</v>
      </c>
      <c r="AM73" s="26" t="n">
        <v>1.4758064516129</v>
      </c>
      <c r="AN73" s="17" t="n">
        <v>0.0787848975549181</v>
      </c>
      <c r="AO73" s="18" t="n">
        <v>0.00056470613793245</v>
      </c>
      <c r="AP73" s="16" t="n">
        <v>0.127570319002031</v>
      </c>
      <c r="AQ73" s="17" t="n">
        <v>8.29860735525508</v>
      </c>
      <c r="AR73" s="16" t="n">
        <v>7.93487787660596</v>
      </c>
      <c r="AS73" s="24" t="n">
        <v>0</v>
      </c>
      <c r="AT73" s="24" t="n">
        <v>0.0466208012950223</v>
      </c>
      <c r="AU73" s="24" t="n">
        <v>0.642735734520437</v>
      </c>
      <c r="AV73" s="24" t="n">
        <v>0</v>
      </c>
      <c r="AW73" s="24" t="n">
        <v>0.0825576689599353</v>
      </c>
      <c r="AX73" s="24" t="n">
        <v>6.30594900849858</v>
      </c>
      <c r="AY73" s="24" t="n">
        <v>0.125860931343396</v>
      </c>
      <c r="AZ73" s="19" t="n">
        <v>0.29453662484824</v>
      </c>
      <c r="BA73" s="19" t="n">
        <v>4.90975313638203</v>
      </c>
      <c r="BB73" s="19" t="n">
        <v>1.83804032320942</v>
      </c>
      <c r="BC73" s="19" t="n">
        <v>0.782112505058681</v>
      </c>
      <c r="BD73" s="19" t="n">
        <v>0.307405908539053</v>
      </c>
      <c r="BE73" s="19" t="n">
        <v>0.317361392148928</v>
      </c>
      <c r="BF73" s="20" t="n">
        <v>7.07786321327398</v>
      </c>
      <c r="BG73" s="20" t="n">
        <v>8.57507082152975</v>
      </c>
      <c r="BH73" s="20" t="n">
        <v>6.43512747875354</v>
      </c>
      <c r="BI73" s="20" t="n">
        <v>9.21780655605018</v>
      </c>
      <c r="BJ73" s="20" t="n">
        <v>9.81110691348697</v>
      </c>
      <c r="BK73" s="20" t="n">
        <v>15.6529340348037</v>
      </c>
    </row>
    <row r="74" customFormat="false" ht="12.8" hidden="false" customHeight="false" outlineLevel="0" collapsed="false">
      <c r="A74" s="11" t="s">
        <v>285</v>
      </c>
      <c r="B74" s="12" t="n">
        <v>43286</v>
      </c>
      <c r="C74" s="25" t="n">
        <v>7</v>
      </c>
      <c r="D74" s="11" t="s">
        <v>227</v>
      </c>
      <c r="E74" s="11" t="s">
        <v>175</v>
      </c>
      <c r="F74" s="11" t="n">
        <v>36.6</v>
      </c>
      <c r="G74" s="11" t="n">
        <v>520.4</v>
      </c>
      <c r="H74" s="11" t="n">
        <v>15</v>
      </c>
      <c r="I74" s="11" t="n">
        <v>2.88239815526518</v>
      </c>
      <c r="J74" s="13" t="n">
        <v>512.19</v>
      </c>
      <c r="K74" s="13" t="n">
        <v>1.04469096532309</v>
      </c>
      <c r="L74" s="13" t="n">
        <v>1.57763259031514</v>
      </c>
      <c r="M74" s="13" t="n">
        <v>0.0292860071457857</v>
      </c>
      <c r="N74" s="11" t="n">
        <v>8.21</v>
      </c>
      <c r="O74" s="11" t="s">
        <v>273</v>
      </c>
      <c r="P74" s="11" t="s">
        <v>173</v>
      </c>
      <c r="Q74" s="15" t="n">
        <v>0.0604983445140874</v>
      </c>
      <c r="R74" s="15" t="n">
        <v>4.03137042357775</v>
      </c>
      <c r="S74" s="11" t="n">
        <v>42.36</v>
      </c>
      <c r="T74" s="11" t="s">
        <v>173</v>
      </c>
      <c r="U74" s="11" t="s">
        <v>182</v>
      </c>
      <c r="V74" s="11" t="s">
        <v>173</v>
      </c>
      <c r="W74" s="11" t="s">
        <v>173</v>
      </c>
      <c r="X74" s="11" t="s">
        <v>173</v>
      </c>
      <c r="Y74" s="11" t="s">
        <v>173</v>
      </c>
      <c r="Z74" s="15" t="n">
        <v>1</v>
      </c>
      <c r="AA74" s="11" t="s">
        <v>173</v>
      </c>
      <c r="AB74" s="11" t="n">
        <v>93</v>
      </c>
      <c r="AC74" s="15" t="n">
        <v>2.03409090909091</v>
      </c>
      <c r="AD74" s="15" t="n">
        <v>1.05257116620753</v>
      </c>
      <c r="AE74" s="15" t="n">
        <v>0</v>
      </c>
      <c r="AF74" s="16" t="n">
        <v>2</v>
      </c>
      <c r="AG74" s="16" t="n">
        <v>104</v>
      </c>
      <c r="AH74" s="16" t="n">
        <v>60</v>
      </c>
      <c r="AI74" s="16" t="n">
        <v>44</v>
      </c>
      <c r="AJ74" s="16" t="n">
        <v>0</v>
      </c>
      <c r="AK74" s="16" t="n">
        <v>0</v>
      </c>
      <c r="AL74" s="16" t="n">
        <v>0</v>
      </c>
      <c r="AM74" s="26" t="n">
        <v>1.42307692307692</v>
      </c>
      <c r="AN74" s="28" t="n">
        <v>0.42358814182177</v>
      </c>
      <c r="AO74" s="18" t="n">
        <v>0.00152959832887813</v>
      </c>
      <c r="AP74" s="16" t="n">
        <v>0.052079645354176</v>
      </c>
      <c r="AQ74" s="17" t="n">
        <v>8.23617480343756</v>
      </c>
      <c r="AR74" s="16" t="n">
        <v>10.3066121559008</v>
      </c>
      <c r="AS74" s="24" t="n">
        <v>0.0569682151589242</v>
      </c>
      <c r="AT74" s="24" t="n">
        <v>0.0437652811735941</v>
      </c>
      <c r="AU74" s="24" t="n">
        <v>0.533251833740831</v>
      </c>
      <c r="AV74" s="24" t="n">
        <v>0.129339853300733</v>
      </c>
      <c r="AW74" s="24" t="n">
        <v>0.0488997555012225</v>
      </c>
      <c r="AX74" s="24" t="n">
        <v>3.01550102064014</v>
      </c>
      <c r="AY74" s="24" t="n">
        <v>0.0318581907090465</v>
      </c>
      <c r="AZ74" s="19" t="n">
        <v>0.284596577017115</v>
      </c>
      <c r="BA74" s="19" t="n">
        <v>0.790953545232274</v>
      </c>
      <c r="BB74" s="19" t="n">
        <v>0.637408312958435</v>
      </c>
      <c r="BC74" s="19" t="n">
        <v>0.253789731051345</v>
      </c>
      <c r="BD74" s="19" t="n">
        <v>0.62200488997555</v>
      </c>
      <c r="BE74" s="19" t="n">
        <v>0.124156479217604</v>
      </c>
      <c r="BF74" s="20" t="n">
        <v>3.82772595951544</v>
      </c>
      <c r="BG74" s="20" t="n">
        <v>2.74476772616137</v>
      </c>
      <c r="BH74" s="20" t="n">
        <v>3.29447412577461</v>
      </c>
      <c r="BI74" s="20" t="n">
        <v>3.2780195599022</v>
      </c>
      <c r="BJ74" s="20" t="n">
        <v>5.65492855314909</v>
      </c>
      <c r="BK74" s="20" t="n">
        <v>6.57249368567681</v>
      </c>
      <c r="BL74" s="7" t="s">
        <v>224</v>
      </c>
      <c r="BM74" s="7" t="s">
        <v>224</v>
      </c>
      <c r="BN74" s="7" t="s">
        <v>223</v>
      </c>
      <c r="BO74" s="7" t="s">
        <v>223</v>
      </c>
      <c r="BP74" s="7" t="s">
        <v>223</v>
      </c>
      <c r="BQ74" s="7" t="s">
        <v>223</v>
      </c>
      <c r="BR74" s="7" t="s">
        <v>223</v>
      </c>
      <c r="BS74" s="7" t="s">
        <v>223</v>
      </c>
      <c r="BT74" s="7" t="s">
        <v>224</v>
      </c>
      <c r="BU74" s="7" t="s">
        <v>224</v>
      </c>
      <c r="BV74" s="7" t="s">
        <v>223</v>
      </c>
      <c r="BW74" s="7" t="n">
        <v>12.4977701611082</v>
      </c>
      <c r="BX74" s="7" t="s">
        <v>223</v>
      </c>
      <c r="BY74" s="7" t="n">
        <v>18.7531915305811</v>
      </c>
      <c r="BZ74" s="7" t="s">
        <v>223</v>
      </c>
      <c r="CA74" s="7" t="s">
        <v>223</v>
      </c>
      <c r="CB74" s="7" t="s">
        <v>223</v>
      </c>
      <c r="CC74" s="7" t="s">
        <v>223</v>
      </c>
      <c r="CD74" s="7" t="s">
        <v>223</v>
      </c>
      <c r="CE74" s="7" t="n">
        <v>5.20417180676141</v>
      </c>
      <c r="CF74" s="7" t="s">
        <v>223</v>
      </c>
      <c r="CG74" s="7" t="s">
        <v>223</v>
      </c>
      <c r="CH74" s="7" t="s">
        <v>223</v>
      </c>
      <c r="CI74" s="7" t="s">
        <v>223</v>
      </c>
      <c r="CJ74" s="10" t="n">
        <f aca="false">SUM(BL74:CI74)</f>
        <v>36.4551334984507</v>
      </c>
      <c r="CK74" s="7" t="s">
        <v>223</v>
      </c>
      <c r="CL74" s="7" t="s">
        <v>223</v>
      </c>
      <c r="CM74" s="7" t="s">
        <v>224</v>
      </c>
      <c r="CN74" s="7" t="n">
        <v>7.28614055584258</v>
      </c>
      <c r="CO74" s="7" t="n">
        <v>11.5492153410173</v>
      </c>
      <c r="CP74" s="7" t="s">
        <v>223</v>
      </c>
      <c r="CQ74" s="7" t="n">
        <v>24.4886243284874</v>
      </c>
      <c r="CR74" s="7" t="n">
        <v>111.525547545994</v>
      </c>
      <c r="CS74" s="7" t="n">
        <v>112.253797283836</v>
      </c>
      <c r="CT74" s="7" t="n">
        <v>5.30142321369224</v>
      </c>
      <c r="CU74" s="7" t="n">
        <v>340.691308775917</v>
      </c>
      <c r="CV74" s="7" t="n">
        <v>45.7039180273077</v>
      </c>
      <c r="CW74" s="7" t="n">
        <v>245.079545993229</v>
      </c>
      <c r="CX74" s="7" t="n">
        <v>180.921734176459</v>
      </c>
      <c r="CY74" s="7" t="n">
        <v>35.6142881475609</v>
      </c>
      <c r="CZ74" s="7" t="n">
        <v>53.1516013564964</v>
      </c>
      <c r="DA74" s="7" t="n">
        <v>37.0343129880304</v>
      </c>
      <c r="DB74" s="7" t="n">
        <v>624.052806013832</v>
      </c>
      <c r="DC74" s="7" t="n">
        <v>224.719070302266</v>
      </c>
      <c r="DD74" s="7" t="n">
        <v>798.404905482691</v>
      </c>
      <c r="DE74" s="7" t="n">
        <v>13.3661750777347</v>
      </c>
      <c r="DF74" s="7" t="s">
        <v>223</v>
      </c>
      <c r="DG74" s="7" t="n">
        <v>29.9555335193325</v>
      </c>
      <c r="DH74" s="7" t="n">
        <v>128.919705312378</v>
      </c>
      <c r="DI74" s="7" t="n">
        <v>176.545935195503</v>
      </c>
      <c r="DJ74" s="7" t="n">
        <v>15.2776431230826</v>
      </c>
      <c r="DK74" s="10" t="n">
        <f aca="false">SUM(CK74:DJ74)</f>
        <v>3221.84323176069</v>
      </c>
      <c r="DL74" s="7" t="s">
        <v>223</v>
      </c>
      <c r="DM74" s="7" t="s">
        <v>223</v>
      </c>
      <c r="DN74" s="7" t="s">
        <v>224</v>
      </c>
      <c r="DO74" s="7" t="s">
        <v>223</v>
      </c>
      <c r="DP74" s="7" t="s">
        <v>223</v>
      </c>
      <c r="DQ74" s="7" t="s">
        <v>223</v>
      </c>
      <c r="DR74" s="7" t="s">
        <v>223</v>
      </c>
      <c r="DS74" s="7" t="s">
        <v>223</v>
      </c>
      <c r="DT74" s="7" t="s">
        <v>223</v>
      </c>
      <c r="DU74" s="7" t="s">
        <v>223</v>
      </c>
      <c r="DV74" s="7" t="s">
        <v>223</v>
      </c>
      <c r="DW74" s="7" t="n">
        <v>28.396639327406</v>
      </c>
      <c r="DX74" s="7" t="n">
        <v>3.73974306255439</v>
      </c>
      <c r="DY74" s="7" t="n">
        <v>9.19919445489536</v>
      </c>
      <c r="DZ74" s="7" t="s">
        <v>223</v>
      </c>
      <c r="EA74" s="7" t="s">
        <v>224</v>
      </c>
      <c r="EB74" s="7" t="s">
        <v>223</v>
      </c>
      <c r="EC74" s="7" t="n">
        <v>2.50852053479102</v>
      </c>
      <c r="ED74" s="7" t="s">
        <v>224</v>
      </c>
      <c r="EE74" s="7" t="s">
        <v>223</v>
      </c>
      <c r="EF74" s="7" t="s">
        <v>223</v>
      </c>
      <c r="EG74" s="7" t="s">
        <v>223</v>
      </c>
      <c r="EH74" s="7" t="s">
        <v>223</v>
      </c>
      <c r="EI74" s="7" t="s">
        <v>224</v>
      </c>
      <c r="EJ74" s="7" t="s">
        <v>223</v>
      </c>
      <c r="EK74" s="7" t="s">
        <v>223</v>
      </c>
      <c r="EL74" s="7" t="s">
        <v>223</v>
      </c>
      <c r="EM74" s="10" t="n">
        <f aca="false">SUM(DL74:EL74)</f>
        <v>43.8440973796468</v>
      </c>
      <c r="EN74" s="7" t="s">
        <v>223</v>
      </c>
      <c r="EO74" s="7" t="n">
        <v>6.26626517994168</v>
      </c>
      <c r="EP74" s="7" t="s">
        <v>223</v>
      </c>
      <c r="EQ74" s="7" t="s">
        <v>223</v>
      </c>
      <c r="ER74" s="7" t="s">
        <v>223</v>
      </c>
      <c r="ES74" s="7" t="s">
        <v>223</v>
      </c>
      <c r="ET74" s="7" t="s">
        <v>223</v>
      </c>
      <c r="EU74" s="27" t="n">
        <f aca="false">SUM(EN74:ET74)</f>
        <v>6.26626517994168</v>
      </c>
    </row>
    <row r="75" customFormat="false" ht="12.8" hidden="false" customHeight="false" outlineLevel="0" collapsed="false">
      <c r="A75" s="11" t="s">
        <v>286</v>
      </c>
      <c r="B75" s="12" t="n">
        <v>43286</v>
      </c>
      <c r="C75" s="25" t="n">
        <v>7</v>
      </c>
      <c r="D75" s="11" t="s">
        <v>227</v>
      </c>
      <c r="E75" s="11" t="s">
        <v>175</v>
      </c>
      <c r="F75" s="11" t="n">
        <v>26.1</v>
      </c>
      <c r="G75" s="11" t="n">
        <v>188.18</v>
      </c>
      <c r="H75" s="11" t="n">
        <v>2.2</v>
      </c>
      <c r="I75" s="11" t="n">
        <v>1.16909342119248</v>
      </c>
      <c r="J75" s="13" t="n">
        <v>187.1</v>
      </c>
      <c r="K75" s="13" t="n">
        <v>1.05233076077552</v>
      </c>
      <c r="L75" s="13" t="n">
        <v>0.573918588585397</v>
      </c>
      <c r="M75" s="13" t="n">
        <v>0.0117584179583111</v>
      </c>
      <c r="N75" s="11" t="n">
        <v>1.08</v>
      </c>
      <c r="O75" s="11" t="s">
        <v>171</v>
      </c>
      <c r="P75" s="11" t="n">
        <v>40.5141445240016</v>
      </c>
      <c r="Q75" s="15" t="n">
        <v>0.0508018127594898</v>
      </c>
      <c r="R75" s="15" t="n">
        <v>1.86351641571291</v>
      </c>
      <c r="S75" s="11" t="n">
        <v>41.25</v>
      </c>
      <c r="T75" s="11" t="s">
        <v>173</v>
      </c>
      <c r="U75" s="11" t="s">
        <v>173</v>
      </c>
      <c r="V75" s="11" t="s">
        <v>173</v>
      </c>
      <c r="W75" s="11" t="s">
        <v>173</v>
      </c>
      <c r="X75" s="11" t="s">
        <v>173</v>
      </c>
      <c r="Y75" s="11" t="s">
        <v>173</v>
      </c>
      <c r="Z75" s="15" t="n">
        <v>0</v>
      </c>
      <c r="AA75" s="11" t="s">
        <v>173</v>
      </c>
      <c r="AB75" s="11" t="n">
        <v>79</v>
      </c>
      <c r="AC75" s="15" t="n">
        <v>1.1859756097561</v>
      </c>
      <c r="AD75" s="15" t="n">
        <v>1.22933884297521</v>
      </c>
      <c r="AE75" s="15" t="n">
        <v>0</v>
      </c>
      <c r="AF75" s="16" t="n">
        <v>2</v>
      </c>
      <c r="AG75" s="16" t="n">
        <v>115</v>
      </c>
      <c r="AH75" s="16" t="n">
        <v>81</v>
      </c>
      <c r="AI75" s="16" t="n">
        <v>34</v>
      </c>
      <c r="AJ75" s="16" t="n">
        <v>0</v>
      </c>
      <c r="AK75" s="16" t="n">
        <v>0</v>
      </c>
      <c r="AL75" s="16" t="n">
        <v>0</v>
      </c>
      <c r="AM75" s="26" t="n">
        <v>1.29565217391304</v>
      </c>
      <c r="AN75" s="28" t="n">
        <v>0.38253514669062</v>
      </c>
      <c r="AO75" s="18" t="n">
        <v>0.00242904293087339</v>
      </c>
      <c r="AP75" s="16" t="n">
        <v>0.0664646949447617</v>
      </c>
      <c r="AQ75" s="17" t="n">
        <v>6.27617480343756</v>
      </c>
      <c r="AR75" s="16" t="n">
        <v>9.36661215590079</v>
      </c>
      <c r="AS75" s="24" t="n">
        <v>0.096</v>
      </c>
      <c r="AT75" s="24" t="n">
        <v>0.233009708737864</v>
      </c>
      <c r="AU75" s="24" t="n">
        <v>0.53126213592233</v>
      </c>
      <c r="AV75" s="24" t="n">
        <v>0.0957669902912621</v>
      </c>
      <c r="AW75" s="24" t="n">
        <v>0.0160776699029126</v>
      </c>
      <c r="AX75" s="24" t="n">
        <v>4.57864077669903</v>
      </c>
      <c r="AY75" s="24" t="n">
        <v>0.0835805825242718</v>
      </c>
      <c r="AZ75" s="19" t="n">
        <v>0.515417475728155</v>
      </c>
      <c r="BA75" s="19" t="n">
        <v>1.80908737864078</v>
      </c>
      <c r="BB75" s="19" t="n">
        <v>2.1551067961165</v>
      </c>
      <c r="BC75" s="19" t="n">
        <v>0.502368932038835</v>
      </c>
      <c r="BD75" s="19" t="n">
        <v>1.67720388349515</v>
      </c>
      <c r="BE75" s="19" t="n">
        <v>0.410097087378641</v>
      </c>
      <c r="BF75" s="20" t="n">
        <v>5.5507572815534</v>
      </c>
      <c r="BG75" s="20" t="n">
        <v>7.15286213592233</v>
      </c>
      <c r="BH75" s="20" t="n">
        <v>5.01949514563107</v>
      </c>
      <c r="BI75" s="20" t="n">
        <v>7.68412427184466</v>
      </c>
      <c r="BJ75" s="20" t="n">
        <v>8.61842105263158</v>
      </c>
      <c r="BK75" s="20" t="n">
        <v>12.7036194174757</v>
      </c>
    </row>
    <row r="76" customFormat="false" ht="12.8" hidden="false" customHeight="false" outlineLevel="0" collapsed="false">
      <c r="A76" s="11" t="s">
        <v>287</v>
      </c>
      <c r="B76" s="12" t="n">
        <v>43286</v>
      </c>
      <c r="C76" s="25" t="n">
        <v>7</v>
      </c>
      <c r="D76" s="11" t="s">
        <v>227</v>
      </c>
      <c r="E76" s="11" t="s">
        <v>170</v>
      </c>
      <c r="F76" s="11" t="n">
        <v>28.7</v>
      </c>
      <c r="G76" s="11" t="n">
        <v>250.16</v>
      </c>
      <c r="H76" s="11" t="n">
        <v>5.1</v>
      </c>
      <c r="I76" s="11" t="n">
        <v>2.03869523504957</v>
      </c>
      <c r="J76" s="13" t="n">
        <v>249.75</v>
      </c>
      <c r="K76" s="13" t="n">
        <v>1.05647641616804</v>
      </c>
      <c r="L76" s="13" t="n">
        <v>0.163895107131436</v>
      </c>
      <c r="M76" s="13" t="n">
        <v>0.0204204204204204</v>
      </c>
      <c r="N76" s="11" t="n">
        <v>0.41</v>
      </c>
      <c r="O76" s="11"/>
      <c r="P76" s="11" t="n">
        <v>113.895957229711</v>
      </c>
      <c r="Q76" s="15" t="n">
        <v>0.0631518639118871</v>
      </c>
      <c r="R76" s="15" t="n">
        <v>4.00284496862981</v>
      </c>
      <c r="S76" s="11" t="n">
        <v>51.43</v>
      </c>
      <c r="T76" s="11" t="n">
        <v>20.33</v>
      </c>
      <c r="U76" s="11" t="s">
        <v>173</v>
      </c>
      <c r="V76" s="11" t="s">
        <v>173</v>
      </c>
      <c r="W76" s="11" t="s">
        <v>173</v>
      </c>
      <c r="X76" s="11" t="s">
        <v>173</v>
      </c>
      <c r="Y76" s="11" t="s">
        <v>173</v>
      </c>
      <c r="Z76" s="15" t="n">
        <v>0</v>
      </c>
      <c r="AA76" s="11" t="n">
        <v>393</v>
      </c>
      <c r="AB76" s="11" t="s">
        <v>173</v>
      </c>
      <c r="AC76" s="15" t="n">
        <v>2.3816425120773</v>
      </c>
      <c r="AD76" s="15" t="n">
        <v>0.932047750229569</v>
      </c>
      <c r="AE76" s="15" t="n">
        <v>1.56789165310988</v>
      </c>
      <c r="AF76" s="16" t="s">
        <v>173</v>
      </c>
      <c r="AG76" s="16" t="s">
        <v>173</v>
      </c>
      <c r="AH76" s="16" t="s">
        <v>173</v>
      </c>
      <c r="AI76" s="16" t="s">
        <v>173</v>
      </c>
      <c r="AJ76" s="16" t="s">
        <v>173</v>
      </c>
      <c r="AK76" s="16" t="s">
        <v>173</v>
      </c>
      <c r="AL76" s="16" t="s">
        <v>173</v>
      </c>
      <c r="AM76" s="26"/>
      <c r="AN76" s="17" t="n">
        <v>0.0939933829734903</v>
      </c>
      <c r="AO76" s="18" t="n">
        <v>0.000280988769549997</v>
      </c>
      <c r="AP76" s="16" t="n">
        <v>0.133247895827369</v>
      </c>
      <c r="AQ76" s="17" t="n">
        <v>17.2186073552551</v>
      </c>
      <c r="AR76" s="16" t="n">
        <v>11.054877876606</v>
      </c>
      <c r="AS76" s="24" t="n">
        <v>0</v>
      </c>
      <c r="AT76" s="24" t="n">
        <v>0.0551950718685832</v>
      </c>
      <c r="AU76" s="24" t="n">
        <v>0.553921971252567</v>
      </c>
      <c r="AV76" s="24" t="n">
        <v>0.0381930184804928</v>
      </c>
      <c r="AW76" s="24" t="n">
        <v>0.214620123203285</v>
      </c>
      <c r="AX76" s="24" t="n">
        <v>6.89199178644764</v>
      </c>
      <c r="AY76" s="24" t="n">
        <v>0.138455285897085</v>
      </c>
      <c r="AZ76" s="19" t="n">
        <v>0.306036960985626</v>
      </c>
      <c r="BA76" s="19" t="n">
        <v>7.59425051334702</v>
      </c>
      <c r="BB76" s="19" t="n">
        <v>2.18663711656698</v>
      </c>
      <c r="BC76" s="19" t="n">
        <v>0.977987679671458</v>
      </c>
      <c r="BD76" s="19" t="n">
        <v>0.352607802874743</v>
      </c>
      <c r="BE76" s="19" t="n">
        <v>0.389568788501027</v>
      </c>
      <c r="BF76" s="20" t="n">
        <v>7.75392197125257</v>
      </c>
      <c r="BG76" s="20" t="n">
        <v>11.9455441478439</v>
      </c>
      <c r="BH76" s="20" t="n">
        <v>7.2</v>
      </c>
      <c r="BI76" s="20" t="n">
        <v>12.4994661190965</v>
      </c>
      <c r="BJ76" s="20" t="n">
        <v>12.4421708185053</v>
      </c>
      <c r="BK76" s="20" t="n">
        <v>19.6994661190965</v>
      </c>
    </row>
    <row r="77" customFormat="false" ht="12.8" hidden="false" customHeight="false" outlineLevel="0" collapsed="false">
      <c r="A77" s="11" t="s">
        <v>288</v>
      </c>
      <c r="B77" s="12" t="n">
        <v>43286</v>
      </c>
      <c r="C77" s="25" t="n">
        <v>7</v>
      </c>
      <c r="D77" s="11" t="s">
        <v>227</v>
      </c>
      <c r="E77" s="11" t="s">
        <v>170</v>
      </c>
      <c r="F77" s="11" t="n">
        <v>28.4</v>
      </c>
      <c r="G77" s="11" t="n">
        <v>243.87</v>
      </c>
      <c r="H77" s="11" t="n">
        <v>4.7</v>
      </c>
      <c r="I77" s="11" t="n">
        <v>1.92725632509124</v>
      </c>
      <c r="J77" s="13" t="n">
        <v>243.49</v>
      </c>
      <c r="K77" s="13" t="n">
        <v>1.06298248726639</v>
      </c>
      <c r="L77" s="13" t="n">
        <v>0.155820724156313</v>
      </c>
      <c r="M77" s="13" t="n">
        <v>0.0193026407655345</v>
      </c>
      <c r="N77" s="11" t="n">
        <v>0.38</v>
      </c>
      <c r="O77" s="11"/>
      <c r="P77" s="11" t="s">
        <v>173</v>
      </c>
      <c r="Q77" s="15" t="n">
        <v>0.075322212739449</v>
      </c>
      <c r="R77" s="15" t="n">
        <v>4.14417032594063</v>
      </c>
      <c r="S77" s="11" t="n">
        <v>44.1</v>
      </c>
      <c r="T77" s="11" t="n">
        <v>22.57</v>
      </c>
      <c r="U77" s="11" t="s">
        <v>182</v>
      </c>
      <c r="V77" s="11" t="s">
        <v>173</v>
      </c>
      <c r="W77" s="11" t="s">
        <v>173</v>
      </c>
      <c r="X77" s="11" t="s">
        <v>173</v>
      </c>
      <c r="Y77" s="11" t="s">
        <v>173</v>
      </c>
      <c r="Z77" s="15" t="n">
        <v>1</v>
      </c>
      <c r="AA77" s="11" t="n">
        <v>233</v>
      </c>
      <c r="AB77" s="11" t="s">
        <v>173</v>
      </c>
      <c r="AC77" s="15" t="n">
        <v>2.60869565217391</v>
      </c>
      <c r="AD77" s="15" t="n">
        <v>1.03650137741047</v>
      </c>
      <c r="AE77" s="15" t="n">
        <v>1.22424340862439</v>
      </c>
      <c r="AF77" s="16" t="s">
        <v>173</v>
      </c>
      <c r="AG77" s="16" t="s">
        <v>173</v>
      </c>
      <c r="AH77" s="16" t="s">
        <v>173</v>
      </c>
      <c r="AI77" s="16" t="s">
        <v>173</v>
      </c>
      <c r="AJ77" s="16" t="s">
        <v>173</v>
      </c>
      <c r="AK77" s="16" t="s">
        <v>173</v>
      </c>
      <c r="AL77" s="16" t="s">
        <v>173</v>
      </c>
      <c r="AM77" s="16" t="s">
        <v>173</v>
      </c>
      <c r="AN77" s="17" t="n">
        <v>0.292375819256645</v>
      </c>
      <c r="AO77" s="18" t="n">
        <v>0.00172030282518801</v>
      </c>
      <c r="AP77" s="16" t="n">
        <v>0.071376018650492</v>
      </c>
      <c r="AQ77" s="17" t="n">
        <v>9.91617480343756</v>
      </c>
      <c r="AR77" s="16" t="n">
        <v>9.78661215590079</v>
      </c>
      <c r="AS77" s="19" t="n">
        <v>0.097254606995111</v>
      </c>
      <c r="AT77" s="19" t="n">
        <v>0.0311395261376457</v>
      </c>
      <c r="AU77" s="19" t="n">
        <v>0.721173373448665</v>
      </c>
      <c r="AV77" s="19" t="n">
        <v>0.0209853328318917</v>
      </c>
      <c r="AW77" s="19" t="n">
        <v>0.0735614892816849</v>
      </c>
      <c r="AX77" s="19" t="n">
        <v>10.3635287299159</v>
      </c>
      <c r="AY77" s="19" t="n">
        <v>0.144977248278597</v>
      </c>
      <c r="AZ77" s="19" t="n">
        <v>0.252726588943212</v>
      </c>
      <c r="BA77" s="19" t="n">
        <v>7.49153817224521</v>
      </c>
      <c r="BB77" s="19" t="n">
        <v>2.00793738128139</v>
      </c>
      <c r="BC77" s="19" t="n">
        <v>0.856336968785258</v>
      </c>
      <c r="BD77" s="19" t="n">
        <v>0.419706656637834</v>
      </c>
      <c r="BE77" s="19" t="n">
        <v>0.379541180895073</v>
      </c>
      <c r="BF77" s="20" t="n">
        <v>11.3076430586108</v>
      </c>
      <c r="BG77" s="20" t="n">
        <v>11.5527641970666</v>
      </c>
      <c r="BH77" s="20" t="n">
        <v>10.5864696851622</v>
      </c>
      <c r="BI77" s="20" t="n">
        <v>12.2739375705152</v>
      </c>
      <c r="BJ77" s="20" t="n">
        <v>14.3703707200909</v>
      </c>
      <c r="BK77" s="20" t="n">
        <v>22.8604072556774</v>
      </c>
    </row>
    <row r="78" customFormat="false" ht="12.8" hidden="false" customHeight="false" outlineLevel="0" collapsed="false">
      <c r="A78" s="11" t="s">
        <v>289</v>
      </c>
      <c r="B78" s="12" t="n">
        <v>43286</v>
      </c>
      <c r="C78" s="25" t="n">
        <v>7</v>
      </c>
      <c r="D78" s="11" t="s">
        <v>227</v>
      </c>
      <c r="E78" s="11" t="s">
        <v>175</v>
      </c>
      <c r="F78" s="11" t="n">
        <v>35.8</v>
      </c>
      <c r="G78" s="11" t="n">
        <v>497.11</v>
      </c>
      <c r="H78" s="11" t="n">
        <v>7.5</v>
      </c>
      <c r="I78" s="11" t="n">
        <v>1.50872040393474</v>
      </c>
      <c r="J78" s="13" t="n">
        <v>489.1</v>
      </c>
      <c r="K78" s="13" t="n">
        <v>1.06597883751946</v>
      </c>
      <c r="L78" s="13" t="n">
        <v>1.61131339140231</v>
      </c>
      <c r="M78" s="13" t="n">
        <v>0.0153342874667757</v>
      </c>
      <c r="N78" s="11" t="n">
        <v>8.01</v>
      </c>
      <c r="O78" s="11" t="s">
        <v>273</v>
      </c>
      <c r="P78" s="11" t="n">
        <v>100.993341525775</v>
      </c>
      <c r="Q78" s="15" t="n">
        <v>0.0449020344942044</v>
      </c>
      <c r="R78" s="15" t="n">
        <v>2.97866359993285</v>
      </c>
      <c r="S78" s="11" t="n">
        <v>52.05</v>
      </c>
      <c r="T78" s="11" t="s">
        <v>173</v>
      </c>
      <c r="U78" s="11" t="s">
        <v>173</v>
      </c>
      <c r="V78" s="11" t="s">
        <v>173</v>
      </c>
      <c r="W78" s="11" t="s">
        <v>173</v>
      </c>
      <c r="X78" s="11" t="s">
        <v>249</v>
      </c>
      <c r="Y78" s="11" t="s">
        <v>173</v>
      </c>
      <c r="Z78" s="15" t="n">
        <v>2</v>
      </c>
      <c r="AA78" s="11" t="s">
        <v>173</v>
      </c>
      <c r="AB78" s="11" t="n">
        <v>92</v>
      </c>
      <c r="AC78" s="15" t="n">
        <v>2.16473509933775</v>
      </c>
      <c r="AD78" s="15" t="n">
        <v>0.42584940312213</v>
      </c>
      <c r="AE78" s="15" t="n">
        <v>0.665169992583537</v>
      </c>
      <c r="AF78" s="16" t="n">
        <v>2</v>
      </c>
      <c r="AG78" s="16" t="n">
        <v>112</v>
      </c>
      <c r="AH78" s="16" t="n">
        <v>68</v>
      </c>
      <c r="AI78" s="16" t="n">
        <v>44</v>
      </c>
      <c r="AJ78" s="16" t="n">
        <v>0</v>
      </c>
      <c r="AK78" s="16" t="n">
        <v>0</v>
      </c>
      <c r="AL78" s="16" t="n">
        <v>0</v>
      </c>
      <c r="AM78" s="26" t="n">
        <v>1.39285714285714</v>
      </c>
      <c r="AN78" s="17" t="n">
        <v>0.0373380734196232</v>
      </c>
      <c r="AO78" s="18" t="n">
        <v>0.000305289176775164</v>
      </c>
      <c r="AP78" s="16" t="n">
        <v>0.0735178641522488</v>
      </c>
      <c r="AQ78" s="17" t="n">
        <v>21.0986073552551</v>
      </c>
      <c r="AR78" s="16" t="n">
        <v>9.83487787660596</v>
      </c>
      <c r="AS78" s="24" t="n">
        <v>0.0468085106382979</v>
      </c>
      <c r="AT78" s="24" t="n">
        <v>0.026241134751773</v>
      </c>
      <c r="AU78" s="24" t="n">
        <v>0.507565011820331</v>
      </c>
      <c r="AV78" s="24" t="n">
        <v>0.146572104018913</v>
      </c>
      <c r="AW78" s="24" t="n">
        <v>0.0735224586288416</v>
      </c>
      <c r="AX78" s="24" t="n">
        <v>3.74231678486998</v>
      </c>
      <c r="AY78" s="24" t="n">
        <v>0.0681560283687943</v>
      </c>
      <c r="AZ78" s="19" t="n">
        <v>0.242316784869976</v>
      </c>
      <c r="BA78" s="19" t="n">
        <v>2.00070921985816</v>
      </c>
      <c r="BB78" s="19" t="n">
        <v>2.20992907801418</v>
      </c>
      <c r="BC78" s="19" t="n">
        <v>0.552718676122931</v>
      </c>
      <c r="BD78" s="19" t="n">
        <v>1.74539007092199</v>
      </c>
      <c r="BE78" s="19" t="n">
        <v>0.32789598108747</v>
      </c>
      <c r="BF78" s="20" t="n">
        <v>4.54302600472813</v>
      </c>
      <c r="BG78" s="20" t="n">
        <v>7.1471158392435</v>
      </c>
      <c r="BH78" s="20" t="n">
        <v>4.0354609929078</v>
      </c>
      <c r="BI78" s="20" t="n">
        <v>7.65468085106383</v>
      </c>
      <c r="BJ78" s="20" t="n">
        <v>7.37307871448533</v>
      </c>
      <c r="BK78" s="20" t="n">
        <v>11.6901418439716</v>
      </c>
      <c r="BL78" s="7" t="s">
        <v>224</v>
      </c>
      <c r="BM78" s="7" t="s">
        <v>223</v>
      </c>
      <c r="BN78" s="7" t="s">
        <v>223</v>
      </c>
      <c r="BO78" s="7" t="s">
        <v>223</v>
      </c>
      <c r="BP78" s="7" t="s">
        <v>223</v>
      </c>
      <c r="BQ78" s="7" t="s">
        <v>223</v>
      </c>
      <c r="BR78" s="7" t="s">
        <v>223</v>
      </c>
      <c r="BS78" s="7" t="s">
        <v>223</v>
      </c>
      <c r="BT78" s="7" t="s">
        <v>224</v>
      </c>
      <c r="BU78" s="7" t="s">
        <v>224</v>
      </c>
      <c r="BV78" s="7" t="s">
        <v>223</v>
      </c>
      <c r="BW78" s="7" t="n">
        <v>8.53336904018576</v>
      </c>
      <c r="BX78" s="7" t="s">
        <v>223</v>
      </c>
      <c r="BY78" s="7" t="n">
        <v>10.5766040586128</v>
      </c>
      <c r="BZ78" s="7" t="s">
        <v>223</v>
      </c>
      <c r="CA78" s="7" t="s">
        <v>224</v>
      </c>
      <c r="CB78" s="7" t="s">
        <v>223</v>
      </c>
      <c r="CC78" s="7" t="s">
        <v>223</v>
      </c>
      <c r="CD78" s="7" t="s">
        <v>223</v>
      </c>
      <c r="CE78" s="7" t="n">
        <v>3.22671382659541</v>
      </c>
      <c r="CF78" s="7" t="s">
        <v>223</v>
      </c>
      <c r="CG78" s="7" t="s">
        <v>223</v>
      </c>
      <c r="CH78" s="7" t="s">
        <v>223</v>
      </c>
      <c r="CI78" s="7" t="s">
        <v>223</v>
      </c>
      <c r="CJ78" s="10" t="n">
        <f aca="false">SUM(BL78:CI78)</f>
        <v>22.336686925394</v>
      </c>
      <c r="CK78" s="7" t="s">
        <v>223</v>
      </c>
      <c r="CL78" s="7" t="s">
        <v>223</v>
      </c>
      <c r="CM78" s="7" t="s">
        <v>223</v>
      </c>
      <c r="CN78" s="7" t="n">
        <v>5.19864715490531</v>
      </c>
      <c r="CO78" s="7" t="n">
        <v>8.56744737062847</v>
      </c>
      <c r="CP78" s="7" t="s">
        <v>223</v>
      </c>
      <c r="CQ78" s="7" t="n">
        <v>12.0430062498624</v>
      </c>
      <c r="CR78" s="7" t="n">
        <v>75.5740615394332</v>
      </c>
      <c r="CS78" s="7" t="n">
        <v>77.4894274241638</v>
      </c>
      <c r="CT78" s="7" t="n">
        <v>4.74783090995906</v>
      </c>
      <c r="CU78" s="7" t="n">
        <v>265.399926440782</v>
      </c>
      <c r="CV78" s="7" t="n">
        <v>27.0662508162536</v>
      </c>
      <c r="CW78" s="7" t="n">
        <v>188.763965168414</v>
      </c>
      <c r="CX78" s="7" t="n">
        <v>172.241144814767</v>
      </c>
      <c r="CY78" s="7" t="n">
        <v>20.0752385773938</v>
      </c>
      <c r="CZ78" s="7" t="n">
        <v>35.8731943170097</v>
      </c>
      <c r="DA78" s="7" t="n">
        <v>37.7599102779168</v>
      </c>
      <c r="DB78" s="7" t="n">
        <v>329.456632437978</v>
      </c>
      <c r="DC78" s="7" t="n">
        <v>166.054829233314</v>
      </c>
      <c r="DD78" s="7" t="n">
        <v>559.718784410874</v>
      </c>
      <c r="DE78" s="7" t="s">
        <v>224</v>
      </c>
      <c r="DF78" s="7" t="s">
        <v>223</v>
      </c>
      <c r="DG78" s="7" t="s">
        <v>224</v>
      </c>
      <c r="DH78" s="7" t="n">
        <v>43.919773147749</v>
      </c>
      <c r="DI78" s="7" t="n">
        <v>110.131944316094</v>
      </c>
      <c r="DJ78" s="7" t="s">
        <v>224</v>
      </c>
      <c r="DK78" s="10" t="n">
        <f aca="false">SUM(CK78:DJ78)</f>
        <v>2140.0820146075</v>
      </c>
      <c r="DL78" s="7" t="s">
        <v>223</v>
      </c>
      <c r="DM78" s="7" t="s">
        <v>223</v>
      </c>
      <c r="DN78" s="7" t="s">
        <v>224</v>
      </c>
      <c r="DO78" s="7" t="s">
        <v>223</v>
      </c>
      <c r="DP78" s="7" t="s">
        <v>223</v>
      </c>
      <c r="DQ78" s="7" t="s">
        <v>223</v>
      </c>
      <c r="DR78" s="7" t="s">
        <v>223</v>
      </c>
      <c r="DS78" s="7" t="s">
        <v>223</v>
      </c>
      <c r="DT78" s="7" t="s">
        <v>223</v>
      </c>
      <c r="DU78" s="7" t="s">
        <v>223</v>
      </c>
      <c r="DV78" s="7" t="s">
        <v>223</v>
      </c>
      <c r="DW78" s="7" t="n">
        <v>17.6726085747025</v>
      </c>
      <c r="DX78" s="7" t="s">
        <v>224</v>
      </c>
      <c r="DY78" s="7" t="n">
        <v>6.05560299667002</v>
      </c>
      <c r="DZ78" s="7" t="s">
        <v>223</v>
      </c>
      <c r="EA78" s="7" t="s">
        <v>224</v>
      </c>
      <c r="EB78" s="7" t="s">
        <v>223</v>
      </c>
      <c r="EC78" s="7" t="n">
        <v>2.41857056181122</v>
      </c>
      <c r="ED78" s="7" t="s">
        <v>224</v>
      </c>
      <c r="EE78" s="7" t="s">
        <v>223</v>
      </c>
      <c r="EF78" s="7" t="s">
        <v>223</v>
      </c>
      <c r="EG78" s="7" t="s">
        <v>223</v>
      </c>
      <c r="EH78" s="7" t="s">
        <v>223</v>
      </c>
      <c r="EI78" s="7" t="s">
        <v>223</v>
      </c>
      <c r="EJ78" s="7" t="s">
        <v>223</v>
      </c>
      <c r="EK78" s="7" t="s">
        <v>223</v>
      </c>
      <c r="EL78" s="7" t="s">
        <v>223</v>
      </c>
      <c r="EM78" s="10" t="n">
        <f aca="false">SUM(DL78:EL78)</f>
        <v>26.1467821331837</v>
      </c>
      <c r="EN78" s="7" t="s">
        <v>223</v>
      </c>
      <c r="EO78" s="7" t="s">
        <v>224</v>
      </c>
      <c r="EP78" s="7" t="s">
        <v>223</v>
      </c>
      <c r="EQ78" s="7" t="s">
        <v>223</v>
      </c>
      <c r="ER78" s="7" t="s">
        <v>223</v>
      </c>
      <c r="ES78" s="7" t="s">
        <v>223</v>
      </c>
      <c r="ET78" s="7" t="s">
        <v>223</v>
      </c>
      <c r="EU78" s="27" t="n">
        <f aca="false">SUM(EN78:ET78)</f>
        <v>0</v>
      </c>
    </row>
    <row r="79" customFormat="false" ht="12.8" hidden="false" customHeight="false" outlineLevel="0" collapsed="false">
      <c r="A79" s="11" t="s">
        <v>290</v>
      </c>
      <c r="B79" s="12" t="n">
        <v>43286</v>
      </c>
      <c r="C79" s="25" t="n">
        <v>7</v>
      </c>
      <c r="D79" s="11" t="s">
        <v>227</v>
      </c>
      <c r="E79" s="11" t="s">
        <v>170</v>
      </c>
      <c r="F79" s="11" t="n">
        <v>28.1</v>
      </c>
      <c r="G79" s="11" t="n">
        <v>242.73</v>
      </c>
      <c r="H79" s="11" t="n">
        <v>4.1</v>
      </c>
      <c r="I79" s="11" t="n">
        <v>1.68911959790714</v>
      </c>
      <c r="J79" s="13" t="n">
        <v>242.48</v>
      </c>
      <c r="K79" s="13" t="n">
        <v>1.09284095878496</v>
      </c>
      <c r="L79" s="13" t="n">
        <v>0.102995097433362</v>
      </c>
      <c r="M79" s="13" t="n">
        <v>0.0169086110194655</v>
      </c>
      <c r="N79" s="11" t="n">
        <v>0.25</v>
      </c>
      <c r="O79" s="11"/>
      <c r="P79" s="11" t="n">
        <v>99.7129649259192</v>
      </c>
      <c r="Q79" s="15" t="n">
        <v>0.0417282832038141</v>
      </c>
      <c r="R79" s="15" t="n">
        <v>2.40170698117789</v>
      </c>
      <c r="S79" s="11" t="n">
        <v>48.42</v>
      </c>
      <c r="T79" s="11" t="n">
        <v>30.12</v>
      </c>
      <c r="U79" s="11" t="s">
        <v>173</v>
      </c>
      <c r="V79" s="11" t="s">
        <v>173</v>
      </c>
      <c r="W79" s="11" t="s">
        <v>173</v>
      </c>
      <c r="X79" s="11" t="s">
        <v>173</v>
      </c>
      <c r="Y79" s="11" t="s">
        <v>173</v>
      </c>
      <c r="Z79" s="15" t="n">
        <v>0</v>
      </c>
      <c r="AA79" s="11" t="n">
        <v>599</v>
      </c>
      <c r="AB79" s="11" t="s">
        <v>173</v>
      </c>
      <c r="AC79" s="15" t="n">
        <v>1.68374316939891</v>
      </c>
      <c r="AD79" s="15" t="n">
        <v>0.771349862258953</v>
      </c>
      <c r="AE79" s="15" t="n">
        <v>0.553142350803297</v>
      </c>
      <c r="AF79" s="16" t="s">
        <v>173</v>
      </c>
      <c r="AG79" s="16" t="s">
        <v>173</v>
      </c>
      <c r="AH79" s="16" t="s">
        <v>173</v>
      </c>
      <c r="AI79" s="16" t="s">
        <v>173</v>
      </c>
      <c r="AJ79" s="16" t="s">
        <v>173</v>
      </c>
      <c r="AK79" s="16" t="s">
        <v>173</v>
      </c>
      <c r="AL79" s="16" t="s">
        <v>173</v>
      </c>
      <c r="AM79" s="16" t="s">
        <v>173</v>
      </c>
      <c r="AN79" s="28" t="n">
        <v>0.441281706932607</v>
      </c>
      <c r="AO79" s="18" t="n">
        <v>0.000474359950677723</v>
      </c>
      <c r="AP79" s="16" t="n">
        <v>0.0779635725215193</v>
      </c>
      <c r="AQ79" s="17" t="n">
        <v>12.3386073552551</v>
      </c>
      <c r="AR79" s="16" t="n">
        <v>12.134877876606</v>
      </c>
      <c r="AS79" s="24" t="n">
        <v>0</v>
      </c>
      <c r="AT79" s="24" t="n">
        <v>0.0357512953367876</v>
      </c>
      <c r="AU79" s="24" t="n">
        <v>0.500074019245004</v>
      </c>
      <c r="AV79" s="24" t="n">
        <v>0</v>
      </c>
      <c r="AW79" s="24" t="n">
        <v>0.0135455218356773</v>
      </c>
      <c r="AX79" s="24" t="n">
        <v>9.57563071703183</v>
      </c>
      <c r="AY79" s="24" t="n">
        <v>0.12899650705537</v>
      </c>
      <c r="AZ79" s="19" t="n">
        <v>0.180777202072539</v>
      </c>
      <c r="BA79" s="19" t="n">
        <v>7.1680236861584</v>
      </c>
      <c r="BB79" s="19" t="n">
        <v>2.10934546185655</v>
      </c>
      <c r="BC79" s="19" t="n">
        <v>0.748556624722428</v>
      </c>
      <c r="BD79" s="19" t="n">
        <v>0.222945965951147</v>
      </c>
      <c r="BE79" s="19" t="n">
        <v>0.134167283493708</v>
      </c>
      <c r="BF79" s="20" t="n">
        <v>10.1250015534493</v>
      </c>
      <c r="BG79" s="20" t="n">
        <v>10.6928127313101</v>
      </c>
      <c r="BH79" s="20" t="n">
        <v>9.62492753420429</v>
      </c>
      <c r="BI79" s="20" t="n">
        <v>11.1928867505551</v>
      </c>
      <c r="BJ79" s="20" t="n">
        <v>19.1484267298846</v>
      </c>
      <c r="BK79" s="20" t="n">
        <v>20.8178142847594</v>
      </c>
    </row>
    <row r="80" customFormat="false" ht="12.8" hidden="false" customHeight="false" outlineLevel="0" collapsed="false">
      <c r="A80" s="11" t="s">
        <v>291</v>
      </c>
      <c r="B80" s="12" t="n">
        <v>43286</v>
      </c>
      <c r="C80" s="25" t="n">
        <v>7</v>
      </c>
      <c r="D80" s="11" t="s">
        <v>227</v>
      </c>
      <c r="E80" s="11" t="s">
        <v>175</v>
      </c>
      <c r="F80" s="11" t="n">
        <v>30.3</v>
      </c>
      <c r="G80" s="11" t="n">
        <v>311.12</v>
      </c>
      <c r="H80" s="11" t="n">
        <v>5.5</v>
      </c>
      <c r="I80" s="11" t="n">
        <v>1.76780663409617</v>
      </c>
      <c r="J80" s="13" t="n">
        <v>307.99</v>
      </c>
      <c r="K80" s="13" t="n">
        <v>1.10715577651939</v>
      </c>
      <c r="L80" s="13" t="n">
        <v>1.00604268449473</v>
      </c>
      <c r="M80" s="13" t="n">
        <v>0.0178577226533329</v>
      </c>
      <c r="N80" s="11" t="n">
        <v>3.13</v>
      </c>
      <c r="O80" s="11"/>
      <c r="P80" s="11" t="n">
        <v>87.4070286509809</v>
      </c>
      <c r="Q80" s="15" t="n">
        <v>0.0520991918107157</v>
      </c>
      <c r="R80" s="15" t="n">
        <v>3.21368679992755</v>
      </c>
      <c r="S80" s="11" t="n">
        <v>31.69</v>
      </c>
      <c r="T80" s="11" t="s">
        <v>173</v>
      </c>
      <c r="U80" s="11" t="s">
        <v>182</v>
      </c>
      <c r="V80" s="11" t="s">
        <v>173</v>
      </c>
      <c r="W80" s="11" t="s">
        <v>173</v>
      </c>
      <c r="X80" s="11" t="s">
        <v>173</v>
      </c>
      <c r="Y80" s="11" t="s">
        <v>173</v>
      </c>
      <c r="Z80" s="15" t="n">
        <v>1</v>
      </c>
      <c r="AA80" s="11" t="s">
        <v>173</v>
      </c>
      <c r="AB80" s="11" t="n">
        <v>99</v>
      </c>
      <c r="AC80" s="15" t="n">
        <v>1.63488700564972</v>
      </c>
      <c r="AD80" s="15" t="n">
        <v>0.614669421487603</v>
      </c>
      <c r="AE80" s="15" t="n">
        <v>0.380582770671437</v>
      </c>
      <c r="AF80" s="16" t="n">
        <v>2</v>
      </c>
      <c r="AG80" s="16" t="n">
        <v>134</v>
      </c>
      <c r="AH80" s="16" t="n">
        <v>80</v>
      </c>
      <c r="AI80" s="16" t="n">
        <v>51</v>
      </c>
      <c r="AJ80" s="16" t="n">
        <v>0</v>
      </c>
      <c r="AK80" s="16" t="n">
        <v>0</v>
      </c>
      <c r="AL80" s="16" t="n">
        <v>3</v>
      </c>
      <c r="AM80" s="26" t="n">
        <v>1.38931297709924</v>
      </c>
      <c r="AN80" s="17" t="n">
        <v>0.145847722466125</v>
      </c>
      <c r="AO80" s="18" t="n">
        <v>0.000464336751706937</v>
      </c>
      <c r="AP80" s="16" t="n">
        <v>0.111338661071128</v>
      </c>
      <c r="AQ80" s="17" t="n">
        <v>15.1386073552551</v>
      </c>
      <c r="AR80" s="16" t="n">
        <v>7.81487787660595</v>
      </c>
      <c r="AS80" s="24" t="n">
        <v>0.0460280373831776</v>
      </c>
      <c r="AT80" s="24" t="n">
        <v>0.0184579439252336</v>
      </c>
      <c r="AU80" s="24" t="n">
        <v>0.573130841121495</v>
      </c>
      <c r="AV80" s="24" t="n">
        <v>0.124299065420561</v>
      </c>
      <c r="AW80" s="24" t="n">
        <v>0.0642523364485981</v>
      </c>
      <c r="AX80" s="24" t="n">
        <v>17.2175615971659</v>
      </c>
      <c r="AY80" s="24" t="n">
        <v>0.0568224299065421</v>
      </c>
      <c r="AZ80" s="19" t="n">
        <v>0.363785046728972</v>
      </c>
      <c r="BA80" s="19" t="n">
        <v>1.5392523364486</v>
      </c>
      <c r="BB80" s="19" t="n">
        <v>1.77570093457944</v>
      </c>
      <c r="BC80" s="19" t="n">
        <v>0.495560747663551</v>
      </c>
      <c r="BD80" s="19" t="n">
        <v>1.53014018691589</v>
      </c>
      <c r="BE80" s="19" t="n">
        <v>0.496495327102804</v>
      </c>
      <c r="BF80" s="20" t="n">
        <v>18.043729821465</v>
      </c>
      <c r="BG80" s="20" t="n">
        <v>6.25775700934579</v>
      </c>
      <c r="BH80" s="20" t="n">
        <v>17.4705989803435</v>
      </c>
      <c r="BI80" s="20" t="n">
        <v>6.83088785046729</v>
      </c>
      <c r="BJ80" s="20" t="n">
        <v>30.0412407810314</v>
      </c>
      <c r="BK80" s="20" t="n">
        <v>24.3014868308107</v>
      </c>
    </row>
    <row r="81" customFormat="false" ht="12.8" hidden="false" customHeight="false" outlineLevel="0" collapsed="false">
      <c r="A81" s="11" t="s">
        <v>292</v>
      </c>
      <c r="B81" s="12" t="n">
        <v>43286</v>
      </c>
      <c r="C81" s="25" t="n">
        <v>7</v>
      </c>
      <c r="D81" s="11" t="s">
        <v>227</v>
      </c>
      <c r="E81" s="11" t="s">
        <v>175</v>
      </c>
      <c r="F81" s="11" t="n">
        <v>34.2</v>
      </c>
      <c r="G81" s="11" t="n">
        <v>447.58</v>
      </c>
      <c r="H81" s="11" t="n">
        <v>10.6</v>
      </c>
      <c r="I81" s="11" t="n">
        <v>2.36829170204209</v>
      </c>
      <c r="J81" s="13" t="n">
        <v>443.31</v>
      </c>
      <c r="K81" s="13" t="n">
        <v>1.10822823276858</v>
      </c>
      <c r="L81" s="13" t="n">
        <v>0.954019393181107</v>
      </c>
      <c r="M81" s="13" t="n">
        <v>0.0239110329115066</v>
      </c>
      <c r="N81" s="11" t="n">
        <v>4.27</v>
      </c>
      <c r="O81" s="11"/>
      <c r="P81" s="11" t="n">
        <v>141.349179752127</v>
      </c>
      <c r="Q81" s="15" t="n">
        <v>0.0337521254375204</v>
      </c>
      <c r="R81" s="15" t="n">
        <v>9.93857009035916</v>
      </c>
      <c r="S81" s="11" t="n">
        <v>39.64</v>
      </c>
      <c r="T81" s="11" t="s">
        <v>173</v>
      </c>
      <c r="U81" s="11" t="s">
        <v>173</v>
      </c>
      <c r="V81" s="11" t="s">
        <v>173</v>
      </c>
      <c r="W81" s="11" t="s">
        <v>173</v>
      </c>
      <c r="X81" s="11" t="s">
        <v>249</v>
      </c>
      <c r="Y81" s="11" t="s">
        <v>173</v>
      </c>
      <c r="Z81" s="15" t="n">
        <v>2</v>
      </c>
      <c r="AA81" s="11" t="s">
        <v>173</v>
      </c>
      <c r="AB81" s="11" t="n">
        <v>78</v>
      </c>
      <c r="AC81" s="15" t="n">
        <v>1.6875</v>
      </c>
      <c r="AD81" s="15" t="n">
        <v>0.610651974288338</v>
      </c>
      <c r="AE81" s="15" t="n">
        <v>0</v>
      </c>
      <c r="AF81" s="16" t="n">
        <v>2</v>
      </c>
      <c r="AG81" s="16" t="n">
        <v>114</v>
      </c>
      <c r="AH81" s="16" t="n">
        <v>71</v>
      </c>
      <c r="AI81" s="16" t="n">
        <v>30</v>
      </c>
      <c r="AJ81" s="16" t="n">
        <v>13</v>
      </c>
      <c r="AK81" s="16"/>
      <c r="AL81" s="16" t="n">
        <v>0</v>
      </c>
      <c r="AM81" s="26" t="n">
        <v>1.49122807017544</v>
      </c>
      <c r="AN81" s="28" t="n">
        <v>0.30966810462956</v>
      </c>
      <c r="AO81" s="18" t="n">
        <v>0.00038226220753013</v>
      </c>
      <c r="AP81" s="16" t="n">
        <v>0.0745087929955031</v>
      </c>
      <c r="AQ81" s="17" t="n">
        <v>9.25860735525508</v>
      </c>
      <c r="AR81" s="16" t="n">
        <v>10.394877876606</v>
      </c>
      <c r="AS81" s="24" t="n">
        <v>0.055327868852459</v>
      </c>
      <c r="AT81" s="24" t="n">
        <v>0.0469672131147541</v>
      </c>
      <c r="AU81" s="24" t="n">
        <v>0.681147540983607</v>
      </c>
      <c r="AV81" s="24" t="n">
        <v>0.0174590163934426</v>
      </c>
      <c r="AW81" s="24" t="n">
        <v>0.0575409836065574</v>
      </c>
      <c r="AX81" s="24" t="n">
        <v>7.4891681175571</v>
      </c>
      <c r="AY81" s="24" t="n">
        <v>0.104271875028669</v>
      </c>
      <c r="AZ81" s="19" t="n">
        <v>0.327049180327869</v>
      </c>
      <c r="BA81" s="19" t="n">
        <v>6.89262295081967</v>
      </c>
      <c r="BB81" s="19" t="n">
        <v>1.97900681349592</v>
      </c>
      <c r="BC81" s="19" t="n">
        <v>0.863606557377049</v>
      </c>
      <c r="BD81" s="19" t="n">
        <v>0.303934426229508</v>
      </c>
      <c r="BE81" s="19" t="n">
        <v>0.288196721311475</v>
      </c>
      <c r="BF81" s="20" t="n">
        <v>8.34761074050792</v>
      </c>
      <c r="BG81" s="20" t="n">
        <v>10.7586885245902</v>
      </c>
      <c r="BH81" s="20" t="n">
        <v>7.66646319952431</v>
      </c>
      <c r="BI81" s="20" t="n">
        <v>11.4398360655738</v>
      </c>
      <c r="BJ81" s="20" t="n">
        <v>10.994927922286</v>
      </c>
      <c r="BK81" s="20" t="n">
        <v>19.1062992650981</v>
      </c>
    </row>
    <row r="82" customFormat="false" ht="12.8" hidden="false" customHeight="false" outlineLevel="0" collapsed="false">
      <c r="A82" s="11" t="s">
        <v>293</v>
      </c>
      <c r="B82" s="12" t="n">
        <v>43286</v>
      </c>
      <c r="C82" s="25" t="n">
        <v>7</v>
      </c>
      <c r="D82" s="11" t="s">
        <v>227</v>
      </c>
      <c r="E82" s="11" t="s">
        <v>175</v>
      </c>
      <c r="F82" s="11" t="n">
        <v>36.1</v>
      </c>
      <c r="G82" s="11" t="n">
        <v>527.46</v>
      </c>
      <c r="H82" s="11" t="n">
        <v>8.5</v>
      </c>
      <c r="I82" s="11" t="n">
        <v>1.61149660637773</v>
      </c>
      <c r="J82" s="13" t="n">
        <v>521.78</v>
      </c>
      <c r="K82" s="13" t="n">
        <v>1.10908753095728</v>
      </c>
      <c r="L82" s="13" t="n">
        <v>1.07685890873242</v>
      </c>
      <c r="M82" s="13" t="n">
        <v>0.0162903905860708</v>
      </c>
      <c r="N82" s="11" t="n">
        <v>5.68</v>
      </c>
      <c r="O82" s="11" t="s">
        <v>273</v>
      </c>
      <c r="P82" s="11" t="n">
        <v>93.1069991090535</v>
      </c>
      <c r="Q82" s="15" t="n">
        <v>0.0383108185134519</v>
      </c>
      <c r="R82" s="15" t="n">
        <v>13.7570515704591</v>
      </c>
      <c r="S82" s="11" t="n">
        <v>42.98</v>
      </c>
      <c r="T82" s="11" t="s">
        <v>173</v>
      </c>
      <c r="U82" s="11" t="s">
        <v>173</v>
      </c>
      <c r="V82" s="11" t="s">
        <v>173</v>
      </c>
      <c r="W82" s="11" t="s">
        <v>173</v>
      </c>
      <c r="X82" s="11" t="s">
        <v>173</v>
      </c>
      <c r="Y82" s="11" t="s">
        <v>173</v>
      </c>
      <c r="Z82" s="15" t="n">
        <v>0</v>
      </c>
      <c r="AA82" s="11" t="s">
        <v>173</v>
      </c>
      <c r="AB82" s="11" t="n">
        <v>88</v>
      </c>
      <c r="AC82" s="15" t="n">
        <v>2.84873188405797</v>
      </c>
      <c r="AD82" s="15" t="n">
        <v>0.924012855831038</v>
      </c>
      <c r="AE82" s="15" t="n">
        <v>0</v>
      </c>
      <c r="AF82" s="16" t="n">
        <v>2</v>
      </c>
      <c r="AG82" s="16" t="n">
        <v>107</v>
      </c>
      <c r="AH82" s="16" t="n">
        <v>62</v>
      </c>
      <c r="AI82" s="16" t="n">
        <v>45</v>
      </c>
      <c r="AJ82" s="16" t="n">
        <v>0</v>
      </c>
      <c r="AK82" s="16" t="n">
        <v>0</v>
      </c>
      <c r="AL82" s="16" t="n">
        <v>0</v>
      </c>
      <c r="AM82" s="26" t="n">
        <v>1.42056074766355</v>
      </c>
      <c r="AN82" s="28" t="n">
        <v>0.331582245537738</v>
      </c>
      <c r="AO82" s="18" t="n">
        <v>0.00199403768547754</v>
      </c>
      <c r="AP82" s="16" t="n">
        <v>0.0494317799286302</v>
      </c>
      <c r="AQ82" s="17" t="n">
        <v>7.59617480343756</v>
      </c>
      <c r="AR82" s="16" t="n">
        <v>11.1066121559008</v>
      </c>
      <c r="AS82" s="24" t="n">
        <v>0.0476323119777159</v>
      </c>
      <c r="AT82" s="24" t="n">
        <v>0.037883008356546</v>
      </c>
      <c r="AU82" s="24" t="n">
        <v>0.593871866295265</v>
      </c>
      <c r="AV82" s="24" t="n">
        <v>0.235097493036212</v>
      </c>
      <c r="AW82" s="24" t="n">
        <v>0.0818941504178273</v>
      </c>
      <c r="AX82" s="24" t="n">
        <v>71.8264865638705</v>
      </c>
      <c r="AY82" s="24" t="n">
        <v>0.0775766016713092</v>
      </c>
      <c r="AZ82" s="19" t="n">
        <v>0.261977715877437</v>
      </c>
      <c r="BA82" s="19" t="n">
        <v>1.87437325905292</v>
      </c>
      <c r="BB82" s="19" t="n">
        <v>2.22451253481894</v>
      </c>
      <c r="BC82" s="19" t="n">
        <v>0.644568245125348</v>
      </c>
      <c r="BD82" s="19" t="n">
        <v>1.96768802228412</v>
      </c>
      <c r="BE82" s="19" t="n">
        <v>0.477715877437326</v>
      </c>
      <c r="BF82" s="20" t="n">
        <v>72.822865393954</v>
      </c>
      <c r="BG82" s="20" t="n">
        <v>7.52841225626741</v>
      </c>
      <c r="BH82" s="20" t="n">
        <v>72.2289935276588</v>
      </c>
      <c r="BI82" s="20" t="n">
        <v>8.12228412256267</v>
      </c>
      <c r="BJ82" s="20" t="n">
        <v>120.946100733722</v>
      </c>
      <c r="BK82" s="20" t="n">
        <v>80.3512776502214</v>
      </c>
      <c r="BL82" s="7" t="s">
        <v>224</v>
      </c>
      <c r="BM82" s="7" t="s">
        <v>223</v>
      </c>
      <c r="BN82" s="7" t="s">
        <v>223</v>
      </c>
      <c r="BO82" s="7" t="s">
        <v>223</v>
      </c>
      <c r="BP82" s="7" t="s">
        <v>223</v>
      </c>
      <c r="BQ82" s="7" t="s">
        <v>223</v>
      </c>
      <c r="BR82" s="7" t="s">
        <v>223</v>
      </c>
      <c r="BS82" s="7" t="s">
        <v>223</v>
      </c>
      <c r="BT82" s="7" t="s">
        <v>224</v>
      </c>
      <c r="BU82" s="7" t="s">
        <v>224</v>
      </c>
      <c r="BV82" s="7" t="s">
        <v>223</v>
      </c>
      <c r="BW82" s="7" t="n">
        <v>6.63609130869118</v>
      </c>
      <c r="BX82" s="7" t="s">
        <v>223</v>
      </c>
      <c r="BY82" s="7" t="n">
        <v>5.72173087797137</v>
      </c>
      <c r="BZ82" s="7" t="s">
        <v>223</v>
      </c>
      <c r="CA82" s="7" t="s">
        <v>223</v>
      </c>
      <c r="CB82" s="7" t="s">
        <v>223</v>
      </c>
      <c r="CC82" s="7" t="s">
        <v>223</v>
      </c>
      <c r="CD82" s="7" t="s">
        <v>223</v>
      </c>
      <c r="CE82" s="7" t="n">
        <v>2.26147742589548</v>
      </c>
      <c r="CF82" s="7" t="s">
        <v>223</v>
      </c>
      <c r="CG82" s="7" t="s">
        <v>223</v>
      </c>
      <c r="CH82" s="7" t="s">
        <v>223</v>
      </c>
      <c r="CI82" s="7" t="s">
        <v>223</v>
      </c>
      <c r="CJ82" s="10" t="n">
        <f aca="false">SUM(BL82:CI82)</f>
        <v>14.619299612558</v>
      </c>
      <c r="CK82" s="7" t="s">
        <v>223</v>
      </c>
      <c r="CL82" s="7" t="s">
        <v>223</v>
      </c>
      <c r="CM82" s="7" t="s">
        <v>223</v>
      </c>
      <c r="CN82" s="7" t="n">
        <v>4.45878825108996</v>
      </c>
      <c r="CO82" s="7" t="n">
        <v>7.65855910490809</v>
      </c>
      <c r="CP82" s="7" t="s">
        <v>223</v>
      </c>
      <c r="CQ82" s="7" t="n">
        <v>11.7814131219117</v>
      </c>
      <c r="CR82" s="7" t="n">
        <v>83.648278492424</v>
      </c>
      <c r="CS82" s="7" t="n">
        <v>77.7726459035105</v>
      </c>
      <c r="CT82" s="7" t="n">
        <v>5.31296182779625</v>
      </c>
      <c r="CU82" s="7" t="n">
        <v>296.830824130306</v>
      </c>
      <c r="CV82" s="7" t="n">
        <v>36.4685995805674</v>
      </c>
      <c r="CW82" s="7" t="n">
        <v>248.540250721861</v>
      </c>
      <c r="CX82" s="7" t="n">
        <v>174.026962838325</v>
      </c>
      <c r="CY82" s="7" t="n">
        <v>26.0308143608451</v>
      </c>
      <c r="CZ82" s="7" t="n">
        <v>40.16065964792</v>
      </c>
      <c r="DA82" s="7" t="n">
        <v>45.1785205329851</v>
      </c>
      <c r="DB82" s="7" t="n">
        <v>455.805948859928</v>
      </c>
      <c r="DC82" s="7" t="n">
        <v>199.10792615073</v>
      </c>
      <c r="DD82" s="7" t="n">
        <v>712.868690820349</v>
      </c>
      <c r="DE82" s="7" t="s">
        <v>224</v>
      </c>
      <c r="DF82" s="7" t="s">
        <v>223</v>
      </c>
      <c r="DG82" s="7" t="n">
        <v>14.9576871151503</v>
      </c>
      <c r="DH82" s="7" t="n">
        <v>83.5520013328335</v>
      </c>
      <c r="DI82" s="7" t="n">
        <v>147.677932293714</v>
      </c>
      <c r="DJ82" s="7" t="s">
        <v>224</v>
      </c>
      <c r="DK82" s="10" t="n">
        <f aca="false">SUM(CK82:DJ82)</f>
        <v>2671.83946508716</v>
      </c>
      <c r="DL82" s="7" t="s">
        <v>223</v>
      </c>
      <c r="DM82" s="7" t="s">
        <v>223</v>
      </c>
      <c r="DN82" s="7" t="s">
        <v>224</v>
      </c>
      <c r="DO82" s="7" t="s">
        <v>223</v>
      </c>
      <c r="DP82" s="7" t="s">
        <v>223</v>
      </c>
      <c r="DQ82" s="7" t="s">
        <v>223</v>
      </c>
      <c r="DR82" s="7" t="s">
        <v>223</v>
      </c>
      <c r="DS82" s="7" t="s">
        <v>223</v>
      </c>
      <c r="DT82" s="7" t="s">
        <v>223</v>
      </c>
      <c r="DU82" s="7" t="s">
        <v>223</v>
      </c>
      <c r="DV82" s="7" t="s">
        <v>223</v>
      </c>
      <c r="DW82" s="7" t="n">
        <v>19.1110161787061</v>
      </c>
      <c r="DX82" s="7" t="s">
        <v>224</v>
      </c>
      <c r="DY82" s="7" t="n">
        <v>5.19744013970328</v>
      </c>
      <c r="DZ82" s="7" t="s">
        <v>223</v>
      </c>
      <c r="EA82" s="7" t="s">
        <v>224</v>
      </c>
      <c r="EB82" s="7" t="s">
        <v>223</v>
      </c>
      <c r="EC82" s="7" t="s">
        <v>224</v>
      </c>
      <c r="ED82" s="7" t="s">
        <v>224</v>
      </c>
      <c r="EE82" s="7" t="s">
        <v>223</v>
      </c>
      <c r="EF82" s="7" t="s">
        <v>223</v>
      </c>
      <c r="EG82" s="7" t="s">
        <v>223</v>
      </c>
      <c r="EH82" s="7" t="s">
        <v>223</v>
      </c>
      <c r="EI82" s="7" t="s">
        <v>224</v>
      </c>
      <c r="EJ82" s="7" t="s">
        <v>223</v>
      </c>
      <c r="EK82" s="7" t="s">
        <v>223</v>
      </c>
      <c r="EL82" s="7" t="s">
        <v>223</v>
      </c>
      <c r="EM82" s="10" t="n">
        <f aca="false">SUM(DL82:EL82)</f>
        <v>24.3084563184094</v>
      </c>
      <c r="EN82" s="7" t="s">
        <v>223</v>
      </c>
      <c r="EO82" s="7" t="n">
        <v>6.19662914365228</v>
      </c>
      <c r="EP82" s="7" t="s">
        <v>223</v>
      </c>
      <c r="EQ82" s="7" t="s">
        <v>223</v>
      </c>
      <c r="ER82" s="7" t="s">
        <v>223</v>
      </c>
      <c r="ES82" s="7" t="s">
        <v>223</v>
      </c>
      <c r="ET82" s="7" t="s">
        <v>223</v>
      </c>
      <c r="EU82" s="27" t="n">
        <f aca="false">SUM(EN82:ET82)</f>
        <v>6.19662914365228</v>
      </c>
    </row>
    <row r="83" customFormat="false" ht="12.8" hidden="false" customHeight="false" outlineLevel="0" collapsed="false">
      <c r="A83" s="11" t="s">
        <v>294</v>
      </c>
      <c r="B83" s="12" t="n">
        <v>43286</v>
      </c>
      <c r="C83" s="25" t="n">
        <v>7</v>
      </c>
      <c r="D83" s="11" t="s">
        <v>227</v>
      </c>
      <c r="E83" s="11" t="s">
        <v>175</v>
      </c>
      <c r="F83" s="11" t="n">
        <v>31.2</v>
      </c>
      <c r="G83" s="11" t="n">
        <v>349.51</v>
      </c>
      <c r="H83" s="11" t="n">
        <v>6.2</v>
      </c>
      <c r="I83" s="11" t="n">
        <v>1.77391204829619</v>
      </c>
      <c r="J83" s="13" t="n">
        <v>345.92</v>
      </c>
      <c r="K83" s="13" t="n">
        <v>1.13896896441275</v>
      </c>
      <c r="L83" s="13" t="n">
        <v>1.02715229893279</v>
      </c>
      <c r="M83" s="13" t="n">
        <v>0.0179232192414431</v>
      </c>
      <c r="N83" s="11" t="n">
        <v>3.59</v>
      </c>
      <c r="O83" s="11" t="s">
        <v>295</v>
      </c>
      <c r="P83" s="11" t="s">
        <v>173</v>
      </c>
      <c r="Q83" s="15" t="n">
        <v>0.0481386021707307</v>
      </c>
      <c r="R83" s="15" t="n">
        <v>2.40170698117789</v>
      </c>
      <c r="S83" s="11" t="n">
        <v>34.79</v>
      </c>
      <c r="T83" s="11" t="s">
        <v>173</v>
      </c>
      <c r="U83" s="11" t="s">
        <v>173</v>
      </c>
      <c r="V83" s="11" t="s">
        <v>173</v>
      </c>
      <c r="W83" s="11" t="s">
        <v>173</v>
      </c>
      <c r="X83" s="11" t="s">
        <v>173</v>
      </c>
      <c r="Y83" s="11" t="s">
        <v>173</v>
      </c>
      <c r="Z83" s="15" t="n">
        <v>0</v>
      </c>
      <c r="AA83" s="11" t="s">
        <v>173</v>
      </c>
      <c r="AB83" s="11" t="n">
        <v>47</v>
      </c>
      <c r="AC83" s="15" t="n">
        <v>2.7677624602333</v>
      </c>
      <c r="AD83" s="15" t="n">
        <v>0.614669421487603</v>
      </c>
      <c r="AE83" s="15" t="n">
        <v>1.3972039924777</v>
      </c>
      <c r="AF83" s="16" t="n">
        <v>2</v>
      </c>
      <c r="AG83" s="16" t="n">
        <v>115</v>
      </c>
      <c r="AH83" s="16" t="n">
        <v>67</v>
      </c>
      <c r="AI83" s="16" t="n">
        <v>33</v>
      </c>
      <c r="AJ83" s="16" t="n">
        <v>11</v>
      </c>
      <c r="AK83" s="16" t="n">
        <v>0</v>
      </c>
      <c r="AL83" s="16" t="n">
        <v>4</v>
      </c>
      <c r="AM83" s="26" t="n">
        <v>1.4954954954955</v>
      </c>
      <c r="AN83" s="28" t="n">
        <v>0.356859110345887</v>
      </c>
      <c r="AO83" s="18" t="n">
        <v>0.000648279824820104</v>
      </c>
      <c r="AP83" s="16" t="n">
        <v>0.0583278496558815</v>
      </c>
      <c r="AQ83" s="17" t="n">
        <v>11.8186073552551</v>
      </c>
      <c r="AR83" s="16" t="n">
        <v>9.87487787660596</v>
      </c>
      <c r="AS83" s="24" t="n">
        <v>0.0106623586429725</v>
      </c>
      <c r="AT83" s="24" t="n">
        <v>0.0848142164781906</v>
      </c>
      <c r="AU83" s="24" t="n">
        <v>0.483683360258481</v>
      </c>
      <c r="AV83" s="24" t="n">
        <v>0</v>
      </c>
      <c r="AW83" s="24" t="n">
        <v>0.0903877221324717</v>
      </c>
      <c r="AX83" s="24" t="n">
        <v>1.07665589660743</v>
      </c>
      <c r="AY83" s="24" t="n">
        <v>0.116551942339355</v>
      </c>
      <c r="AZ83" s="19" t="n">
        <v>0.233166397415186</v>
      </c>
      <c r="BA83" s="19" t="n">
        <v>5.60016155088853</v>
      </c>
      <c r="BB83" s="19" t="n">
        <v>1.82957083633593</v>
      </c>
      <c r="BC83" s="19" t="n">
        <v>0.687722132471729</v>
      </c>
      <c r="BD83" s="19" t="n">
        <v>0.262439418416801</v>
      </c>
      <c r="BE83" s="19" t="n">
        <v>0.328352180936995</v>
      </c>
      <c r="BF83" s="20" t="n">
        <v>1.74620355411955</v>
      </c>
      <c r="BG83" s="20" t="n">
        <v>9.05796445880452</v>
      </c>
      <c r="BH83" s="20" t="n">
        <v>1.26252019386107</v>
      </c>
      <c r="BI83" s="20" t="n">
        <v>9.541647819063</v>
      </c>
      <c r="BJ83" s="20" t="n">
        <v>2.22595190380762</v>
      </c>
      <c r="BK83" s="20" t="n">
        <v>10.8041680129241</v>
      </c>
    </row>
    <row r="84" customFormat="false" ht="12.8" hidden="false" customHeight="false" outlineLevel="0" collapsed="false">
      <c r="A84" s="11" t="s">
        <v>296</v>
      </c>
      <c r="B84" s="12" t="n">
        <v>43286</v>
      </c>
      <c r="C84" s="25" t="n">
        <v>7</v>
      </c>
      <c r="D84" s="11" t="s">
        <v>227</v>
      </c>
      <c r="E84" s="11" t="s">
        <v>175</v>
      </c>
      <c r="F84" s="11" t="n">
        <v>28.2</v>
      </c>
      <c r="G84" s="11" t="n">
        <v>262.53</v>
      </c>
      <c r="H84" s="11" t="n">
        <v>5.4</v>
      </c>
      <c r="I84" s="11" t="n">
        <v>2.05690778196778</v>
      </c>
      <c r="J84" s="13" t="n">
        <v>260.66</v>
      </c>
      <c r="K84" s="13" t="n">
        <v>1.16232362699908</v>
      </c>
      <c r="L84" s="13" t="n">
        <v>0.71229954671847</v>
      </c>
      <c r="M84" s="13" t="n">
        <v>0.0207166423693701</v>
      </c>
      <c r="N84" s="11" t="n">
        <v>1.87</v>
      </c>
      <c r="O84" s="11"/>
      <c r="P84" s="11" t="n">
        <v>88.9311822311036</v>
      </c>
      <c r="Q84" s="15" t="n">
        <v>0.090653031717959</v>
      </c>
      <c r="R84" s="15" t="n">
        <v>4.48951586991494</v>
      </c>
      <c r="S84" s="11" t="n">
        <v>51.51</v>
      </c>
      <c r="T84" s="11" t="s">
        <v>173</v>
      </c>
      <c r="U84" s="11" t="s">
        <v>182</v>
      </c>
      <c r="V84" s="11" t="s">
        <v>173</v>
      </c>
      <c r="W84" s="11" t="s">
        <v>173</v>
      </c>
      <c r="X84" s="11" t="s">
        <v>249</v>
      </c>
      <c r="Y84" s="11" t="s">
        <v>173</v>
      </c>
      <c r="Z84" s="15" t="n">
        <v>3</v>
      </c>
      <c r="AA84" s="11" t="s">
        <v>173</v>
      </c>
      <c r="AB84" s="11" t="n">
        <v>56</v>
      </c>
      <c r="AC84" s="15" t="n">
        <v>1.99621928166352</v>
      </c>
      <c r="AD84" s="15" t="n">
        <v>0.839646464646465</v>
      </c>
      <c r="AE84" s="15" t="n">
        <v>4.44300728191701</v>
      </c>
      <c r="AF84" s="16" t="n">
        <v>2</v>
      </c>
      <c r="AG84" s="16" t="n">
        <v>113</v>
      </c>
      <c r="AH84" s="16" t="n">
        <v>71</v>
      </c>
      <c r="AI84" s="16" t="n">
        <v>42</v>
      </c>
      <c r="AJ84" s="16" t="n">
        <v>0</v>
      </c>
      <c r="AK84" s="16" t="n">
        <v>0</v>
      </c>
      <c r="AL84" s="16" t="n">
        <v>0</v>
      </c>
      <c r="AM84" s="26" t="n">
        <v>1.3716814159292</v>
      </c>
      <c r="AN84" s="17" t="n">
        <v>0.0259971203484981</v>
      </c>
      <c r="AO84" s="18" t="n">
        <v>4.3523430476589E-005</v>
      </c>
      <c r="AP84" s="16" t="n">
        <v>0.0913936357117543</v>
      </c>
      <c r="AQ84" s="17" t="n">
        <v>44.9386073552551</v>
      </c>
      <c r="AR84" s="16" t="n">
        <v>9.73487787660596</v>
      </c>
      <c r="AS84" s="24" t="n">
        <v>0</v>
      </c>
      <c r="AT84" s="24" t="n">
        <v>0</v>
      </c>
      <c r="AU84" s="24" t="n">
        <v>0.652948773138183</v>
      </c>
      <c r="AV84" s="24" t="n">
        <v>0</v>
      </c>
      <c r="AW84" s="24" t="n">
        <v>0.044167025398192</v>
      </c>
      <c r="AX84" s="24" t="n">
        <v>78.760323789324</v>
      </c>
      <c r="AY84" s="24" t="n">
        <v>0.0786377591948653</v>
      </c>
      <c r="AZ84" s="19" t="n">
        <v>0.16592337494619</v>
      </c>
      <c r="BA84" s="19" t="n">
        <v>8.28325441239776</v>
      </c>
      <c r="BB84" s="19" t="n">
        <v>2.04809491407246</v>
      </c>
      <c r="BC84" s="19" t="n">
        <v>0.799655617735687</v>
      </c>
      <c r="BD84" s="19" t="n">
        <v>0.24198880757641</v>
      </c>
      <c r="BE84" s="19" t="n">
        <v>0.263452432199742</v>
      </c>
      <c r="BF84" s="20" t="n">
        <v>79.4574395878604</v>
      </c>
      <c r="BG84" s="20" t="n">
        <v>11.8810073181231</v>
      </c>
      <c r="BH84" s="20" t="n">
        <v>78.8044908147222</v>
      </c>
      <c r="BI84" s="20" t="n">
        <v>12.5339560912613</v>
      </c>
      <c r="BJ84" s="20" t="n">
        <v>120.622515929984</v>
      </c>
      <c r="BK84" s="20" t="n">
        <v>91.3384469059835</v>
      </c>
    </row>
    <row r="85" customFormat="false" ht="12.8" hidden="false" customHeight="false" outlineLevel="0" collapsed="false">
      <c r="A85" s="11" t="s">
        <v>297</v>
      </c>
      <c r="B85" s="12" t="n">
        <v>43286</v>
      </c>
      <c r="C85" s="25" t="n">
        <v>7</v>
      </c>
      <c r="D85" s="11" t="s">
        <v>227</v>
      </c>
      <c r="E85" s="11" t="s">
        <v>175</v>
      </c>
      <c r="F85" s="11" t="n">
        <v>29</v>
      </c>
      <c r="G85" s="11" t="n">
        <v>287.67</v>
      </c>
      <c r="H85" s="11" t="n">
        <v>5.7</v>
      </c>
      <c r="I85" s="11" t="n">
        <v>1.9814370633017</v>
      </c>
      <c r="J85" s="13" t="n">
        <v>285.16</v>
      </c>
      <c r="K85" s="13" t="n">
        <v>1.16921562999713</v>
      </c>
      <c r="L85" s="13" t="n">
        <v>0.872527548927591</v>
      </c>
      <c r="M85" s="13" t="n">
        <v>0.0199887782297657</v>
      </c>
      <c r="N85" s="11" t="n">
        <v>2.51</v>
      </c>
      <c r="O85" s="11"/>
      <c r="P85" s="11" t="n">
        <v>105.313068346076</v>
      </c>
      <c r="Q85" s="15" t="n">
        <v>0.0545829408417496</v>
      </c>
      <c r="R85" s="15" t="n">
        <v>20.414509340012</v>
      </c>
      <c r="S85" s="11" t="n">
        <v>47.61</v>
      </c>
      <c r="T85" s="11" t="s">
        <v>173</v>
      </c>
      <c r="U85" s="11" t="s">
        <v>173</v>
      </c>
      <c r="V85" s="11" t="s">
        <v>173</v>
      </c>
      <c r="W85" s="11" t="s">
        <v>173</v>
      </c>
      <c r="X85" s="11" t="s">
        <v>173</v>
      </c>
      <c r="Y85" s="11" t="s">
        <v>173</v>
      </c>
      <c r="Z85" s="15" t="n">
        <v>0</v>
      </c>
      <c r="AA85" s="11" t="s">
        <v>173</v>
      </c>
      <c r="AB85" s="11" t="n">
        <v>65</v>
      </c>
      <c r="AC85" s="15" t="n">
        <v>1.49183417085427</v>
      </c>
      <c r="AD85" s="15" t="n">
        <v>0.783402203856749</v>
      </c>
      <c r="AE85" s="15" t="n">
        <v>0.310179315177046</v>
      </c>
      <c r="AF85" s="16" t="n">
        <v>2</v>
      </c>
      <c r="AG85" s="16" t="n">
        <v>104</v>
      </c>
      <c r="AH85" s="16" t="n">
        <v>78</v>
      </c>
      <c r="AI85" s="16" t="n">
        <v>26</v>
      </c>
      <c r="AJ85" s="16" t="n">
        <v>0</v>
      </c>
      <c r="AK85" s="16" t="n">
        <v>0</v>
      </c>
      <c r="AL85" s="16" t="n">
        <v>0</v>
      </c>
      <c r="AM85" s="26" t="n">
        <v>1.25</v>
      </c>
      <c r="AN85" s="17" t="n">
        <v>0.208009564280842</v>
      </c>
      <c r="AO85" s="18" t="n">
        <v>0.000178187091269335</v>
      </c>
      <c r="AP85" s="16" t="n">
        <v>0.0712404286126597</v>
      </c>
      <c r="AQ85" s="17" t="n">
        <v>9.73860735525508</v>
      </c>
      <c r="AR85" s="16" t="n">
        <v>10.114877876606</v>
      </c>
      <c r="AS85" s="24" t="n">
        <v>0</v>
      </c>
      <c r="AT85" s="24" t="n">
        <v>0.178561354019746</v>
      </c>
      <c r="AU85" s="24" t="n">
        <v>0.479830747531735</v>
      </c>
      <c r="AV85" s="24" t="n">
        <v>0.06262341325811</v>
      </c>
      <c r="AW85" s="24" t="n">
        <v>0.0595204513399154</v>
      </c>
      <c r="AX85" s="24" t="n">
        <v>2.16868829337095</v>
      </c>
      <c r="AY85" s="24" t="n">
        <v>0.145030207797731</v>
      </c>
      <c r="AZ85" s="19" t="n">
        <v>0.0640620592383639</v>
      </c>
      <c r="BA85" s="19" t="n">
        <v>5.46967559943583</v>
      </c>
      <c r="BB85" s="19" t="n">
        <v>2.08994863564374</v>
      </c>
      <c r="BC85" s="19" t="n">
        <v>0.768406205923836</v>
      </c>
      <c r="BD85" s="19" t="n">
        <v>0.185613540197461</v>
      </c>
      <c r="BE85" s="19" t="n">
        <v>0.139294781382229</v>
      </c>
      <c r="BF85" s="20" t="n">
        <v>2.94922425952045</v>
      </c>
      <c r="BG85" s="20" t="n">
        <v>8.86203102961918</v>
      </c>
      <c r="BH85" s="20" t="n">
        <v>2.46939351198872</v>
      </c>
      <c r="BI85" s="20" t="n">
        <v>9.34186177715092</v>
      </c>
      <c r="BJ85" s="20" t="n">
        <v>4.51969429747208</v>
      </c>
      <c r="BK85" s="20" t="n">
        <v>11.8112552891396</v>
      </c>
    </row>
    <row r="86" customFormat="false" ht="12.8" hidden="false" customHeight="false" outlineLevel="0" collapsed="false">
      <c r="A86" s="11" t="s">
        <v>298</v>
      </c>
      <c r="B86" s="12" t="n">
        <v>43286</v>
      </c>
      <c r="C86" s="25" t="n">
        <v>7</v>
      </c>
      <c r="D86" s="11" t="s">
        <v>227</v>
      </c>
      <c r="E86" s="11" t="s">
        <v>175</v>
      </c>
      <c r="F86" s="11" t="n">
        <v>27.6</v>
      </c>
      <c r="G86" s="11" t="n">
        <v>247.89</v>
      </c>
      <c r="H86" s="11" t="n">
        <v>5.1</v>
      </c>
      <c r="I86" s="11" t="n">
        <v>2.05736415345516</v>
      </c>
      <c r="J86" s="13" t="n">
        <v>245.95</v>
      </c>
      <c r="K86" s="13" t="n">
        <v>1.16982145085827</v>
      </c>
      <c r="L86" s="13" t="n">
        <v>0.782605187784905</v>
      </c>
      <c r="M86" s="13" t="n">
        <v>0.0207359219353527</v>
      </c>
      <c r="N86" s="11" t="n">
        <v>1.94</v>
      </c>
      <c r="O86" s="11"/>
      <c r="P86" s="11" t="n">
        <v>143.709597346182</v>
      </c>
      <c r="Q86" s="15" t="n">
        <v>0.0520599462712834</v>
      </c>
      <c r="R86" s="15" t="n">
        <v>7.20512094353366</v>
      </c>
      <c r="S86" s="11" t="n">
        <v>44.87</v>
      </c>
      <c r="T86" s="11" t="s">
        <v>173</v>
      </c>
      <c r="U86" s="11" t="s">
        <v>173</v>
      </c>
      <c r="V86" s="11" t="s">
        <v>173</v>
      </c>
      <c r="W86" s="11" t="s">
        <v>173</v>
      </c>
      <c r="X86" s="11" t="s">
        <v>249</v>
      </c>
      <c r="Y86" s="11" t="s">
        <v>173</v>
      </c>
      <c r="Z86" s="15" t="n">
        <v>2</v>
      </c>
      <c r="AA86" s="11" t="s">
        <v>173</v>
      </c>
      <c r="AB86" s="11" t="n">
        <v>93</v>
      </c>
      <c r="AC86" s="15" t="n">
        <v>0.900473933649289</v>
      </c>
      <c r="AD86" s="15" t="n">
        <v>0.936065197428834</v>
      </c>
      <c r="AE86" s="15" t="n">
        <v>1.27088440742533</v>
      </c>
      <c r="AF86" s="16" t="n">
        <v>2</v>
      </c>
      <c r="AG86" s="16" t="n">
        <v>114</v>
      </c>
      <c r="AH86" s="16" t="n">
        <v>77</v>
      </c>
      <c r="AI86" s="16" t="n">
        <v>36</v>
      </c>
      <c r="AJ86" s="16" t="n">
        <v>0</v>
      </c>
      <c r="AK86" s="16" t="n">
        <v>0</v>
      </c>
      <c r="AL86" s="16" t="n">
        <v>1</v>
      </c>
      <c r="AM86" s="26" t="n">
        <v>1.31858407079646</v>
      </c>
      <c r="AN86" s="17" t="n">
        <v>0.269277945752117</v>
      </c>
      <c r="AO86" s="18" t="n">
        <v>0.000372592456263832</v>
      </c>
      <c r="AP86" s="16" t="n">
        <v>0.0763304278925713</v>
      </c>
      <c r="AQ86" s="17" t="n">
        <v>16.4586073552551</v>
      </c>
      <c r="AR86" s="16" t="n">
        <v>11.334877876606</v>
      </c>
      <c r="AS86" s="24" t="n">
        <v>0.00622347949080622</v>
      </c>
      <c r="AT86" s="24" t="n">
        <v>0.028005657708628</v>
      </c>
      <c r="AU86" s="24" t="n">
        <v>0.626591230551627</v>
      </c>
      <c r="AV86" s="24" t="n">
        <v>0</v>
      </c>
      <c r="AW86" s="24" t="n">
        <v>0.0282885431400283</v>
      </c>
      <c r="AX86" s="24" t="n">
        <v>11.5512429212514</v>
      </c>
      <c r="AY86" s="24" t="n">
        <v>0.17960538940004</v>
      </c>
      <c r="AZ86" s="19" t="n">
        <v>0.0975388967468175</v>
      </c>
      <c r="BA86" s="19" t="n">
        <v>7.26732673267327</v>
      </c>
      <c r="BB86" s="19" t="n">
        <v>2.39182318202853</v>
      </c>
      <c r="BC86" s="19" t="n">
        <v>0.793210749646393</v>
      </c>
      <c r="BD86" s="19" t="n">
        <v>0.222828854314003</v>
      </c>
      <c r="BE86" s="19" t="n">
        <v>0.15991513437058</v>
      </c>
      <c r="BF86" s="20" t="n">
        <v>12.2403518321425</v>
      </c>
      <c r="BG86" s="20" t="n">
        <v>11.1122489391796</v>
      </c>
      <c r="BH86" s="20" t="n">
        <v>11.6137606015909</v>
      </c>
      <c r="BI86" s="20" t="n">
        <v>11.7388401697313</v>
      </c>
      <c r="BJ86" s="20" t="n">
        <v>18.4350536011846</v>
      </c>
      <c r="BK86" s="20" t="n">
        <v>23.3526007713221</v>
      </c>
    </row>
    <row r="87" customFormat="false" ht="12.8" hidden="false" customHeight="false" outlineLevel="0" collapsed="false">
      <c r="A87" s="11" t="s">
        <v>299</v>
      </c>
      <c r="B87" s="12" t="n">
        <v>43286</v>
      </c>
      <c r="C87" s="25" t="n">
        <v>7</v>
      </c>
      <c r="D87" s="11" t="s">
        <v>227</v>
      </c>
      <c r="E87" s="11" t="s">
        <v>175</v>
      </c>
      <c r="F87" s="11" t="n">
        <v>29.7</v>
      </c>
      <c r="G87" s="11" t="n">
        <v>321.21</v>
      </c>
      <c r="H87" s="11" t="n">
        <v>5.7</v>
      </c>
      <c r="I87" s="11" t="n">
        <v>1.77454002054731</v>
      </c>
      <c r="J87" s="13" t="n">
        <v>317.92</v>
      </c>
      <c r="K87" s="13" t="n">
        <v>1.21352436875796</v>
      </c>
      <c r="L87" s="13" t="n">
        <v>1.02425204694748</v>
      </c>
      <c r="M87" s="13" t="n">
        <v>0.0179290387518873</v>
      </c>
      <c r="N87" s="11" t="n">
        <v>3.29</v>
      </c>
      <c r="O87" s="11"/>
      <c r="P87" s="11" t="n">
        <v>82.8068824881548</v>
      </c>
      <c r="Q87" s="15" t="n">
        <v>0.0617442413815342</v>
      </c>
      <c r="R87" s="15" t="n">
        <v>10.3479391100994</v>
      </c>
      <c r="S87" s="11" t="n">
        <v>31.36</v>
      </c>
      <c r="T87" s="11" t="s">
        <v>173</v>
      </c>
      <c r="U87" s="11" t="s">
        <v>182</v>
      </c>
      <c r="V87" s="11" t="s">
        <v>173</v>
      </c>
      <c r="W87" s="11" t="s">
        <v>173</v>
      </c>
      <c r="X87" s="11" t="s">
        <v>173</v>
      </c>
      <c r="Y87" s="11" t="s">
        <v>173</v>
      </c>
      <c r="Z87" s="15" t="n">
        <v>1</v>
      </c>
      <c r="AA87" s="11" t="s">
        <v>173</v>
      </c>
      <c r="AB87" s="11" t="n">
        <v>161</v>
      </c>
      <c r="AC87" s="15" t="n">
        <v>2.2992700729927</v>
      </c>
      <c r="AD87" s="15" t="n">
        <v>0.719123048668503</v>
      </c>
      <c r="AE87" s="15" t="n">
        <v>0.0541870714015059</v>
      </c>
      <c r="AF87" s="16" t="n">
        <v>2</v>
      </c>
      <c r="AG87" s="16" t="n">
        <v>113</v>
      </c>
      <c r="AH87" s="16" t="n">
        <v>71</v>
      </c>
      <c r="AI87" s="16" t="n">
        <v>37</v>
      </c>
      <c r="AJ87" s="16" t="n">
        <v>5</v>
      </c>
      <c r="AK87" s="16" t="n">
        <v>0</v>
      </c>
      <c r="AL87" s="16" t="n">
        <v>0</v>
      </c>
      <c r="AM87" s="26" t="n">
        <v>1.41592920353982</v>
      </c>
      <c r="AN87" s="17" t="n">
        <v>0.148059229807456</v>
      </c>
      <c r="AO87" s="18" t="n">
        <v>0.000407194816314188</v>
      </c>
      <c r="AP87" s="16" t="n">
        <v>0.09328710079232</v>
      </c>
      <c r="AQ87" s="17" t="n">
        <v>10.8586073552551</v>
      </c>
      <c r="AR87" s="16" t="n">
        <v>11.034877876606</v>
      </c>
      <c r="AS87" s="24" t="n">
        <v>0</v>
      </c>
      <c r="AT87" s="24" t="n">
        <v>0.114052120592744</v>
      </c>
      <c r="AU87" s="24" t="n">
        <v>0.685232498722534</v>
      </c>
      <c r="AV87" s="24" t="n">
        <v>0.0119570771589167</v>
      </c>
      <c r="AW87" s="24" t="n">
        <v>0.0502810424118549</v>
      </c>
      <c r="AX87" s="24" t="n">
        <v>5.13847726111395</v>
      </c>
      <c r="AY87" s="24" t="n">
        <v>0.281076985790441</v>
      </c>
      <c r="AZ87" s="19" t="n">
        <v>0.290373019928462</v>
      </c>
      <c r="BA87" s="19" t="n">
        <v>6.03372508942259</v>
      </c>
      <c r="BB87" s="19" t="n">
        <v>2.01038954461324</v>
      </c>
      <c r="BC87" s="19" t="n">
        <v>0.791619826264691</v>
      </c>
      <c r="BD87" s="19" t="n">
        <v>0.280071538068472</v>
      </c>
      <c r="BE87" s="19" t="n">
        <v>0.232948390393459</v>
      </c>
      <c r="BF87" s="20" t="n">
        <v>6</v>
      </c>
      <c r="BG87" s="20" t="n">
        <v>9.92020439448135</v>
      </c>
      <c r="BH87" s="20" t="n">
        <v>5.31476750127747</v>
      </c>
      <c r="BI87" s="20" t="n">
        <v>10.6054368932039</v>
      </c>
      <c r="BJ87" s="20" t="n">
        <v>7.49888143176734</v>
      </c>
      <c r="BK87" s="20" t="n">
        <v>15.9202043944813</v>
      </c>
    </row>
    <row r="88" customFormat="false" ht="12.8" hidden="false" customHeight="false" outlineLevel="0" collapsed="false">
      <c r="A88" s="11" t="s">
        <v>300</v>
      </c>
      <c r="B88" s="12" t="n">
        <v>43286</v>
      </c>
      <c r="C88" s="25" t="n">
        <v>7</v>
      </c>
      <c r="D88" s="11" t="s">
        <v>227</v>
      </c>
      <c r="E88" s="11" t="s">
        <v>175</v>
      </c>
      <c r="F88" s="11" t="n">
        <v>27.6</v>
      </c>
      <c r="G88" s="11" t="n">
        <v>258.31</v>
      </c>
      <c r="H88" s="11" t="n">
        <v>4.3</v>
      </c>
      <c r="I88" s="11" t="n">
        <v>1.66466648600519</v>
      </c>
      <c r="J88" s="13" t="n">
        <v>256.44</v>
      </c>
      <c r="K88" s="13" t="n">
        <v>1.21971544158608</v>
      </c>
      <c r="L88" s="13" t="n">
        <v>0.723936355541791</v>
      </c>
      <c r="M88" s="13" t="n">
        <v>0.0167680549056309</v>
      </c>
      <c r="N88" s="11" t="n">
        <v>1.87</v>
      </c>
      <c r="O88" s="11" t="s">
        <v>171</v>
      </c>
      <c r="P88" s="11" t="n">
        <v>94.0051450471484</v>
      </c>
      <c r="Q88" s="15" t="n">
        <v>0.0395350543707515</v>
      </c>
      <c r="R88" s="15" t="n">
        <v>14.0307117522224</v>
      </c>
      <c r="S88" s="11" t="n">
        <v>38.89</v>
      </c>
      <c r="T88" s="11" t="s">
        <v>173</v>
      </c>
      <c r="U88" s="11" t="s">
        <v>173</v>
      </c>
      <c r="V88" s="11" t="s">
        <v>173</v>
      </c>
      <c r="W88" s="11" t="s">
        <v>173</v>
      </c>
      <c r="X88" s="11" t="s">
        <v>173</v>
      </c>
      <c r="Y88" s="11" t="s">
        <v>173</v>
      </c>
      <c r="Z88" s="15" t="n">
        <v>0</v>
      </c>
      <c r="AA88" s="11" t="s">
        <v>173</v>
      </c>
      <c r="AB88" s="11" t="n">
        <v>147</v>
      </c>
      <c r="AC88" s="15" t="n">
        <v>3.43013607699967</v>
      </c>
      <c r="AD88" s="15" t="n">
        <v>0.911960514233242</v>
      </c>
      <c r="AE88" s="11" t="s">
        <v>173</v>
      </c>
      <c r="AF88" s="16" t="n">
        <v>2</v>
      </c>
      <c r="AG88" s="16" t="n">
        <v>110</v>
      </c>
      <c r="AH88" s="16" t="n">
        <v>75</v>
      </c>
      <c r="AI88" s="16" t="n">
        <v>33</v>
      </c>
      <c r="AJ88" s="16" t="n">
        <v>0</v>
      </c>
      <c r="AK88" s="16" t="n">
        <v>0</v>
      </c>
      <c r="AL88" s="16" t="n">
        <v>2</v>
      </c>
      <c r="AM88" s="26" t="n">
        <v>1.30555555555556</v>
      </c>
      <c r="AN88" s="17" t="n">
        <v>0.0511551959247276</v>
      </c>
      <c r="AO88" s="18" t="n">
        <v>0.000156177348814695</v>
      </c>
      <c r="AP88" s="16" t="n">
        <v>0.0725256060273585</v>
      </c>
      <c r="AQ88" s="17" t="n">
        <v>40.0186073552551</v>
      </c>
      <c r="AR88" s="16" t="n">
        <v>8.41487787660596</v>
      </c>
      <c r="AS88" s="24" t="n">
        <v>0.0123486682808717</v>
      </c>
      <c r="AT88" s="24" t="n">
        <v>0.00556900726392252</v>
      </c>
      <c r="AU88" s="24" t="n">
        <v>0.418159806295399</v>
      </c>
      <c r="AV88" s="24" t="n">
        <v>0.146489104116223</v>
      </c>
      <c r="AW88" s="24" t="n">
        <v>0.037046004842615</v>
      </c>
      <c r="AX88" s="24" t="n">
        <v>2.23075060532688</v>
      </c>
      <c r="AY88" s="24" t="n">
        <v>0.0793220338983051</v>
      </c>
      <c r="AZ88" s="19" t="n">
        <v>0.304600484261501</v>
      </c>
      <c r="BA88" s="19" t="n">
        <v>2.09612590799031</v>
      </c>
      <c r="BB88" s="19" t="n">
        <v>2.56900726392252</v>
      </c>
      <c r="BC88" s="19" t="n">
        <v>0.599031476997579</v>
      </c>
      <c r="BD88" s="19" t="n">
        <v>2.00726392251816</v>
      </c>
      <c r="BE88" s="19" t="n">
        <v>0.327845036319613</v>
      </c>
      <c r="BF88" s="20" t="n">
        <v>2.85036319612591</v>
      </c>
      <c r="BG88" s="20" t="n">
        <v>7.98319612590799</v>
      </c>
      <c r="BH88" s="20" t="n">
        <v>2.43220338983051</v>
      </c>
      <c r="BI88" s="20" t="n">
        <v>8.40135593220339</v>
      </c>
      <c r="BJ88" s="20" t="n">
        <v>5.3346844238564</v>
      </c>
      <c r="BK88" s="20" t="n">
        <v>10.8335593220339</v>
      </c>
    </row>
    <row r="89" customFormat="false" ht="12.8" hidden="false" customHeight="false" outlineLevel="0" collapsed="false">
      <c r="A89" s="11" t="s">
        <v>301</v>
      </c>
      <c r="B89" s="12" t="n">
        <v>43286</v>
      </c>
      <c r="C89" s="25" t="n">
        <v>7</v>
      </c>
      <c r="D89" s="11" t="s">
        <v>227</v>
      </c>
      <c r="E89" s="11" t="s">
        <v>175</v>
      </c>
      <c r="F89" s="11" t="n">
        <v>25.2</v>
      </c>
      <c r="G89" s="11" t="n">
        <v>196.92</v>
      </c>
      <c r="H89" s="11" t="n">
        <v>4.07</v>
      </c>
      <c r="I89" s="11" t="n">
        <v>2.06682916920577</v>
      </c>
      <c r="J89" s="13" t="n">
        <v>195.48</v>
      </c>
      <c r="K89" s="13" t="n">
        <v>1.22152035417342</v>
      </c>
      <c r="L89" s="13" t="n">
        <v>0.731261425959781</v>
      </c>
      <c r="M89" s="13" t="n">
        <v>0.0208205443012073</v>
      </c>
      <c r="N89" s="11" t="n">
        <v>1.44</v>
      </c>
      <c r="O89" s="11"/>
      <c r="P89" s="11" t="n">
        <v>76.2676157632575</v>
      </c>
      <c r="Q89" s="15" t="n">
        <v>0.0547521458139205</v>
      </c>
      <c r="R89" s="15" t="n">
        <v>7.80554768882813</v>
      </c>
      <c r="S89" s="11" t="n">
        <v>56.5</v>
      </c>
      <c r="T89" s="11" t="s">
        <v>173</v>
      </c>
      <c r="U89" s="11" t="s">
        <v>173</v>
      </c>
      <c r="V89" s="11" t="s">
        <v>173</v>
      </c>
      <c r="W89" s="11" t="s">
        <v>173</v>
      </c>
      <c r="X89" s="11" t="s">
        <v>249</v>
      </c>
      <c r="Y89" s="11" t="s">
        <v>302</v>
      </c>
      <c r="Z89" s="15" t="n">
        <v>5</v>
      </c>
      <c r="AA89" s="11" t="s">
        <v>173</v>
      </c>
      <c r="AB89" s="11" t="n">
        <v>239</v>
      </c>
      <c r="AC89" s="15" t="n">
        <v>1.35775862068966</v>
      </c>
      <c r="AD89" s="15" t="n">
        <v>0.783402203856749</v>
      </c>
      <c r="AE89" s="15" t="n">
        <v>0.613090700760305</v>
      </c>
      <c r="AF89" s="16" t="n">
        <v>2</v>
      </c>
      <c r="AG89" s="16" t="n">
        <v>106</v>
      </c>
      <c r="AH89" s="16" t="n">
        <v>70</v>
      </c>
      <c r="AI89" s="16" t="n">
        <v>36</v>
      </c>
      <c r="AJ89" s="16" t="n">
        <v>0</v>
      </c>
      <c r="AK89" s="16" t="n">
        <v>0</v>
      </c>
      <c r="AL89" s="16" t="n">
        <v>0</v>
      </c>
      <c r="AM89" s="26" t="n">
        <v>1.33962264150943</v>
      </c>
      <c r="AN89" s="17" t="n">
        <v>0.14651778281137</v>
      </c>
      <c r="AO89" s="18" t="n">
        <v>0.000436648014790127</v>
      </c>
      <c r="AP89" s="16" t="n">
        <v>0.116833047141401</v>
      </c>
      <c r="AQ89" s="17" t="n">
        <v>11.3386073552551</v>
      </c>
      <c r="AR89" s="16" t="n">
        <v>8.89487787660596</v>
      </c>
      <c r="AS89" s="24" t="n">
        <v>0</v>
      </c>
      <c r="AT89" s="24" t="n">
        <v>0.0451417769376181</v>
      </c>
      <c r="AU89" s="24" t="n">
        <v>0.57187145557656</v>
      </c>
      <c r="AV89" s="24" t="n">
        <v>0.031758034026465</v>
      </c>
      <c r="AW89" s="24" t="n">
        <v>0.106843100189036</v>
      </c>
      <c r="AX89" s="24" t="n">
        <v>3.67939508506616</v>
      </c>
      <c r="AY89" s="24" t="n">
        <v>0.134444212662947</v>
      </c>
      <c r="AZ89" s="19" t="n">
        <v>0.113126654064272</v>
      </c>
      <c r="BA89" s="19" t="n">
        <v>6.01134215500945</v>
      </c>
      <c r="BB89" s="19" t="n">
        <v>1.69958225236541</v>
      </c>
      <c r="BC89" s="19" t="n">
        <v>0.738147448015123</v>
      </c>
      <c r="BD89" s="19" t="n">
        <v>0.294896030245747</v>
      </c>
      <c r="BE89" s="19" t="n">
        <v>0.306238185255198</v>
      </c>
      <c r="BF89" s="20" t="n">
        <v>4.43500945179584</v>
      </c>
      <c r="BG89" s="20" t="n">
        <v>9.29777693761815</v>
      </c>
      <c r="BH89" s="20" t="n">
        <v>3.86313799621928</v>
      </c>
      <c r="BI89" s="20" t="n">
        <v>9.86964839319471</v>
      </c>
      <c r="BJ89" s="20" t="n">
        <v>6.43395477984927</v>
      </c>
      <c r="BK89" s="20" t="n">
        <v>13.732786389414</v>
      </c>
    </row>
    <row r="90" customFormat="false" ht="12.8" hidden="false" customHeight="false" outlineLevel="0" collapsed="false">
      <c r="A90" s="11" t="s">
        <v>303</v>
      </c>
      <c r="B90" s="12" t="n">
        <v>43286</v>
      </c>
      <c r="C90" s="25" t="n">
        <v>7</v>
      </c>
      <c r="D90" s="11" t="s">
        <v>227</v>
      </c>
      <c r="E90" s="11" t="s">
        <v>175</v>
      </c>
      <c r="F90" s="11" t="n">
        <v>27.1</v>
      </c>
      <c r="G90" s="11" t="n">
        <v>275.83</v>
      </c>
      <c r="H90" s="11" t="n">
        <v>4.7</v>
      </c>
      <c r="I90" s="11" t="n">
        <v>1.70394808396476</v>
      </c>
      <c r="J90" s="13" t="n">
        <v>273.77</v>
      </c>
      <c r="K90" s="13" t="n">
        <v>1.37555507443257</v>
      </c>
      <c r="L90" s="13" t="n">
        <v>0.7468368197803</v>
      </c>
      <c r="M90" s="13" t="n">
        <v>0.0171676955108303</v>
      </c>
      <c r="N90" s="11" t="n">
        <v>2.06</v>
      </c>
      <c r="O90" s="11"/>
      <c r="P90" s="11" t="n">
        <v>114.545541702312</v>
      </c>
      <c r="Q90" s="15" t="n">
        <v>0.0656281373115391</v>
      </c>
      <c r="R90" s="15" t="n">
        <v>12.6894672607947</v>
      </c>
      <c r="S90" s="11" t="n">
        <v>28.44</v>
      </c>
      <c r="T90" s="11" t="s">
        <v>173</v>
      </c>
      <c r="U90" s="11" t="s">
        <v>182</v>
      </c>
      <c r="V90" s="11" t="s">
        <v>173</v>
      </c>
      <c r="W90" s="11" t="s">
        <v>173</v>
      </c>
      <c r="X90" s="11" t="s">
        <v>173</v>
      </c>
      <c r="Y90" s="11" t="s">
        <v>173</v>
      </c>
      <c r="Z90" s="15" t="n">
        <v>1</v>
      </c>
      <c r="AA90" s="11" t="s">
        <v>173</v>
      </c>
      <c r="AB90" s="11" t="n">
        <v>78</v>
      </c>
      <c r="AC90" s="15" t="n">
        <v>1.95652173913044</v>
      </c>
      <c r="AD90" s="15" t="n">
        <v>0.883838383838384</v>
      </c>
      <c r="AE90" s="15" t="n">
        <v>0</v>
      </c>
      <c r="AF90" s="16" t="n">
        <v>2</v>
      </c>
      <c r="AG90" s="16" t="n">
        <v>126</v>
      </c>
      <c r="AH90" s="16" t="n">
        <v>90</v>
      </c>
      <c r="AI90" s="16" t="n">
        <v>34</v>
      </c>
      <c r="AJ90" s="16" t="n">
        <v>0</v>
      </c>
      <c r="AK90" s="16" t="n">
        <v>0</v>
      </c>
      <c r="AL90" s="16" t="n">
        <v>2</v>
      </c>
      <c r="AM90" s="26" t="n">
        <v>1.2741935483871</v>
      </c>
      <c r="AN90" s="17" t="n">
        <v>0.0329191657543914</v>
      </c>
      <c r="AO90" s="18" t="n">
        <v>0.000121047645321927</v>
      </c>
      <c r="AP90" s="16" t="n">
        <v>0.0683949127273709</v>
      </c>
      <c r="AQ90" s="17" t="n">
        <v>40.6986073552551</v>
      </c>
      <c r="AR90" s="16" t="n">
        <v>10.714877876606</v>
      </c>
      <c r="AS90" s="24" t="n">
        <v>0</v>
      </c>
      <c r="AT90" s="24" t="n">
        <v>0.0173725151253241</v>
      </c>
      <c r="AU90" s="24" t="n">
        <v>0.716940363007779</v>
      </c>
      <c r="AV90" s="24" t="n">
        <v>0</v>
      </c>
      <c r="AW90" s="24" t="n">
        <v>0.301296456352636</v>
      </c>
      <c r="AX90" s="24" t="n">
        <v>1.7305099394987</v>
      </c>
      <c r="AY90" s="24" t="n">
        <v>0.118413543190885</v>
      </c>
      <c r="AZ90" s="19" t="n">
        <v>0.0886516853932584</v>
      </c>
      <c r="BA90" s="19" t="n">
        <v>7.67761452031115</v>
      </c>
      <c r="BB90" s="19" t="n">
        <v>2.01218282673133</v>
      </c>
      <c r="BC90" s="19" t="n">
        <v>0.729386343993086</v>
      </c>
      <c r="BD90" s="19" t="n">
        <v>0.290406222990493</v>
      </c>
      <c r="BE90" s="19" t="n">
        <v>0.185782195332757</v>
      </c>
      <c r="BF90" s="20" t="n">
        <v>2.76611927398444</v>
      </c>
      <c r="BG90" s="20" t="n">
        <v>11.102437337943</v>
      </c>
      <c r="BH90" s="20" t="n">
        <v>2.04917891097666</v>
      </c>
      <c r="BI90" s="20" t="n">
        <v>11.8193777009507</v>
      </c>
      <c r="BJ90" s="20" t="n">
        <v>2.41374321880651</v>
      </c>
      <c r="BK90" s="20" t="n">
        <v>13.8685566119274</v>
      </c>
    </row>
    <row r="91" customFormat="false" ht="12.8" hidden="false" customHeight="false" outlineLevel="0" collapsed="false">
      <c r="A91" s="1" t="s">
        <v>304</v>
      </c>
      <c r="B91" s="6" t="n">
        <v>43287</v>
      </c>
      <c r="C91" s="25" t="n">
        <v>7</v>
      </c>
      <c r="D91" s="1" t="s">
        <v>169</v>
      </c>
      <c r="E91" s="1" t="s">
        <v>170</v>
      </c>
      <c r="F91" s="1" t="n">
        <v>24.6</v>
      </c>
      <c r="G91" s="1" t="n">
        <v>131</v>
      </c>
      <c r="H91" s="1" t="n">
        <v>2.3</v>
      </c>
      <c r="I91" s="1" t="n">
        <v>1.75572519083969</v>
      </c>
      <c r="J91" s="1" t="n">
        <v>131</v>
      </c>
      <c r="K91" s="1" t="n">
        <v>0.8799661663085</v>
      </c>
      <c r="M91" s="1" t="n">
        <v>0.0175572519083969</v>
      </c>
      <c r="N91" s="1" t="s">
        <v>173</v>
      </c>
      <c r="O91" s="1" t="s">
        <v>273</v>
      </c>
      <c r="P91" s="1" t="n">
        <v>90.1393368934622</v>
      </c>
      <c r="Q91" s="1" t="n">
        <v>0.048526413958991</v>
      </c>
      <c r="R91" s="1" t="n">
        <v>4.60060456687743</v>
      </c>
      <c r="S91" s="1" t="n">
        <v>53.5</v>
      </c>
      <c r="T91" s="1" t="n">
        <v>23.59</v>
      </c>
      <c r="U91" s="1" t="s">
        <v>173</v>
      </c>
      <c r="V91" s="1" t="s">
        <v>173</v>
      </c>
      <c r="W91" s="1" t="s">
        <v>173</v>
      </c>
      <c r="X91" s="1" t="s">
        <v>173</v>
      </c>
      <c r="Y91" s="1" t="s">
        <v>173</v>
      </c>
      <c r="Z91" s="1" t="n">
        <v>0</v>
      </c>
      <c r="AA91" s="1" t="n">
        <v>289</v>
      </c>
      <c r="AB91" s="1" t="s">
        <v>173</v>
      </c>
      <c r="AC91" s="1" t="n">
        <v>1.68959330143541</v>
      </c>
      <c r="AD91" s="1" t="n">
        <v>0.827594123048668</v>
      </c>
      <c r="AE91" s="1" t="n">
        <v>0.76332398574563</v>
      </c>
      <c r="AF91" s="1" t="s">
        <v>173</v>
      </c>
      <c r="AG91" s="1" t="s">
        <v>173</v>
      </c>
      <c r="AH91" s="1" t="s">
        <v>173</v>
      </c>
      <c r="AI91" s="1" t="s">
        <v>173</v>
      </c>
      <c r="AJ91" s="1" t="s">
        <v>173</v>
      </c>
      <c r="AK91" s="1" t="s">
        <v>173</v>
      </c>
      <c r="AL91" s="1" t="s">
        <v>173</v>
      </c>
      <c r="AM91" s="1" t="s">
        <v>173</v>
      </c>
      <c r="AN91" s="1" t="n">
        <v>0.0647006943205755</v>
      </c>
      <c r="AO91" s="1" t="n">
        <v>0.000539836774850827</v>
      </c>
      <c r="AP91" s="1" t="n">
        <v>0.473080048947611</v>
      </c>
      <c r="AQ91" s="1" t="n">
        <v>12.2586073552551</v>
      </c>
      <c r="AR91" s="1" t="n">
        <v>1.71487787660596</v>
      </c>
      <c r="AS91" s="1" t="n">
        <v>0.0115384615384615</v>
      </c>
      <c r="AT91" s="1" t="n">
        <v>0.0193944353518822</v>
      </c>
      <c r="AU91" s="1" t="n">
        <v>0.461292962356792</v>
      </c>
      <c r="AV91" s="1" t="n">
        <v>0.139934533551555</v>
      </c>
      <c r="AW91" s="1" t="n">
        <v>0.0319148936170213</v>
      </c>
      <c r="AX91" s="1" t="n">
        <v>23.5399131610664</v>
      </c>
      <c r="AY91" s="1" t="n">
        <v>0.106693944353519</v>
      </c>
      <c r="AZ91" s="1" t="n">
        <v>0.208183306055646</v>
      </c>
      <c r="BA91" s="1" t="n">
        <v>1.80368248772504</v>
      </c>
      <c r="BB91" s="1" t="n">
        <v>2.21906710310966</v>
      </c>
      <c r="BC91" s="1" t="n">
        <v>0.599754500818331</v>
      </c>
      <c r="BD91" s="1" t="n">
        <v>1.6860883797054</v>
      </c>
      <c r="BE91" s="1" t="n">
        <v>0.366775777414075</v>
      </c>
      <c r="BF91" s="1" t="n">
        <v>24.2039884474822</v>
      </c>
      <c r="BG91" s="1" t="n">
        <v>6.99024549918167</v>
      </c>
      <c r="BH91" s="1" t="n">
        <v>23.7426954851254</v>
      </c>
      <c r="BI91" s="1" t="n">
        <v>7.45153846153846</v>
      </c>
      <c r="BJ91" s="1" t="n">
        <v>51.0302889530303</v>
      </c>
      <c r="BK91" s="1" t="n">
        <v>31.1942339466638</v>
      </c>
      <c r="BL91" s="7" t="n">
        <v>35.23811520482</v>
      </c>
      <c r="BM91" s="7" t="s">
        <v>224</v>
      </c>
      <c r="BN91" s="7" t="s">
        <v>224</v>
      </c>
      <c r="BO91" s="7" t="s">
        <v>223</v>
      </c>
      <c r="BP91" s="7" t="s">
        <v>223</v>
      </c>
      <c r="BQ91" s="7" t="s">
        <v>223</v>
      </c>
      <c r="BR91" s="7" t="s">
        <v>223</v>
      </c>
      <c r="BS91" s="7" t="s">
        <v>223</v>
      </c>
      <c r="BT91" s="7" t="n">
        <v>8.67191539818272</v>
      </c>
      <c r="BU91" s="7" t="n">
        <v>45.846640459461</v>
      </c>
      <c r="BV91" s="7" t="s">
        <v>223</v>
      </c>
      <c r="BW91" s="7" t="n">
        <v>12.5679763499844</v>
      </c>
      <c r="BX91" s="7" t="s">
        <v>224</v>
      </c>
      <c r="BY91" s="7" t="n">
        <v>22.8696838107061</v>
      </c>
      <c r="BZ91" s="7" t="s">
        <v>223</v>
      </c>
      <c r="CA91" s="7" t="n">
        <v>3.21558143180077</v>
      </c>
      <c r="CB91" s="7" t="s">
        <v>223</v>
      </c>
      <c r="CC91" s="7" t="s">
        <v>224</v>
      </c>
      <c r="CD91" s="7" t="s">
        <v>223</v>
      </c>
      <c r="CE91" s="7" t="n">
        <v>12.2586556422128</v>
      </c>
      <c r="CF91" s="7" t="s">
        <v>223</v>
      </c>
      <c r="CG91" s="7" t="s">
        <v>223</v>
      </c>
      <c r="CH91" s="7" t="s">
        <v>223</v>
      </c>
      <c r="CI91" s="7" t="s">
        <v>224</v>
      </c>
      <c r="CJ91" s="10" t="n">
        <f aca="false">SUM(BL91:CI91)</f>
        <v>140.668568297168</v>
      </c>
      <c r="CK91" s="7" t="s">
        <v>223</v>
      </c>
      <c r="CL91" s="7" t="s">
        <v>224</v>
      </c>
      <c r="CM91" s="7" t="s">
        <v>223</v>
      </c>
      <c r="CN91" s="7" t="s">
        <v>223</v>
      </c>
      <c r="CO91" s="7" t="s">
        <v>224</v>
      </c>
      <c r="CP91" s="7" t="s">
        <v>223</v>
      </c>
      <c r="CQ91" s="7" t="s">
        <v>223</v>
      </c>
      <c r="CR91" s="7" t="s">
        <v>224</v>
      </c>
      <c r="CS91" s="7" t="n">
        <v>2.5002122023374</v>
      </c>
      <c r="CT91" s="7" t="s">
        <v>223</v>
      </c>
      <c r="CU91" s="7" t="n">
        <v>5.55136936902221</v>
      </c>
      <c r="CV91" s="7" t="s">
        <v>223</v>
      </c>
      <c r="CW91" s="7" t="s">
        <v>224</v>
      </c>
      <c r="CX91" s="7" t="n">
        <v>6.12106104293153</v>
      </c>
      <c r="CY91" s="7" t="s">
        <v>223</v>
      </c>
      <c r="CZ91" s="7" t="s">
        <v>223</v>
      </c>
      <c r="DA91" s="7" t="s">
        <v>223</v>
      </c>
      <c r="DB91" s="7" t="s">
        <v>224</v>
      </c>
      <c r="DC91" s="7" t="s">
        <v>224</v>
      </c>
      <c r="DD91" s="7" t="n">
        <v>13.9978035105297</v>
      </c>
      <c r="DE91" s="7" t="s">
        <v>223</v>
      </c>
      <c r="DF91" s="7" t="s">
        <v>223</v>
      </c>
      <c r="DG91" s="7" t="s">
        <v>223</v>
      </c>
      <c r="DH91" s="7" t="s">
        <v>223</v>
      </c>
      <c r="DI91" s="7" t="s">
        <v>223</v>
      </c>
      <c r="DJ91" s="7" t="s">
        <v>223</v>
      </c>
      <c r="DK91" s="10" t="n">
        <f aca="false">SUM(CK91:DJ91)</f>
        <v>28.1704461248208</v>
      </c>
      <c r="DL91" s="7" t="s">
        <v>223</v>
      </c>
      <c r="DM91" s="7" t="s">
        <v>223</v>
      </c>
      <c r="DN91" s="7" t="s">
        <v>223</v>
      </c>
      <c r="DO91" s="7" t="s">
        <v>223</v>
      </c>
      <c r="DP91" s="7" t="s">
        <v>223</v>
      </c>
      <c r="DQ91" s="7" t="s">
        <v>223</v>
      </c>
      <c r="DR91" s="7" t="s">
        <v>223</v>
      </c>
      <c r="DS91" s="7" t="s">
        <v>223</v>
      </c>
      <c r="DT91" s="7" t="s">
        <v>223</v>
      </c>
      <c r="DU91" s="7" t="s">
        <v>223</v>
      </c>
      <c r="DV91" s="7" t="s">
        <v>223</v>
      </c>
      <c r="DW91" s="7" t="n">
        <v>2.44280040430404</v>
      </c>
      <c r="DX91" s="7" t="s">
        <v>223</v>
      </c>
      <c r="DY91" s="7" t="s">
        <v>223</v>
      </c>
      <c r="DZ91" s="7" t="s">
        <v>223</v>
      </c>
      <c r="EA91" s="7" t="s">
        <v>224</v>
      </c>
      <c r="EB91" s="7" t="s">
        <v>223</v>
      </c>
      <c r="EC91" s="7" t="s">
        <v>223</v>
      </c>
      <c r="ED91" s="7" t="s">
        <v>223</v>
      </c>
      <c r="EE91" s="7" t="s">
        <v>223</v>
      </c>
      <c r="EF91" s="7" t="s">
        <v>223</v>
      </c>
      <c r="EG91" s="7" t="s">
        <v>223</v>
      </c>
      <c r="EH91" s="7" t="s">
        <v>223</v>
      </c>
      <c r="EI91" s="7" t="s">
        <v>223</v>
      </c>
      <c r="EJ91" s="7" t="s">
        <v>223</v>
      </c>
      <c r="EK91" s="7" t="s">
        <v>223</v>
      </c>
      <c r="EL91" s="7" t="s">
        <v>223</v>
      </c>
      <c r="EM91" s="10" t="n">
        <f aca="false">SUM(DL91:EL91)</f>
        <v>2.44280040430404</v>
      </c>
      <c r="EN91" s="7" t="s">
        <v>223</v>
      </c>
      <c r="EO91" s="7" t="n">
        <v>7.9417050236495</v>
      </c>
      <c r="EP91" s="7" t="s">
        <v>223</v>
      </c>
      <c r="EQ91" s="7" t="s">
        <v>223</v>
      </c>
      <c r="ER91" s="7" t="s">
        <v>223</v>
      </c>
      <c r="ES91" s="7" t="s">
        <v>223</v>
      </c>
      <c r="ET91" s="7" t="s">
        <v>223</v>
      </c>
      <c r="EU91" s="27" t="n">
        <f aca="false">SUM(EN91:ET91)</f>
        <v>7.9417050236495</v>
      </c>
      <c r="EV91" s="1" t="n">
        <v>0.0939924873096448</v>
      </c>
      <c r="EW91" s="1" t="n">
        <v>3.03339390862945</v>
      </c>
      <c r="EX91" s="1" t="n">
        <v>0.217891675126904</v>
      </c>
      <c r="EY91" s="1" t="s">
        <v>225</v>
      </c>
      <c r="EZ91" s="1" t="s">
        <v>225</v>
      </c>
      <c r="FA91" s="1" t="n">
        <v>34.7238154822336</v>
      </c>
      <c r="FB91" s="1" t="n">
        <v>498.43788781726</v>
      </c>
      <c r="FC91" s="1" t="n">
        <v>0.06301769035533</v>
      </c>
      <c r="FD91" s="1" t="n">
        <v>2.22164060913706</v>
      </c>
      <c r="FE91" s="1" t="s">
        <v>225</v>
      </c>
      <c r="FF91" s="1" t="n">
        <v>0.181576395939087</v>
      </c>
      <c r="FG91" s="1" t="s">
        <v>225</v>
      </c>
      <c r="FH91" s="1" t="n">
        <v>0.54472918781726</v>
      </c>
      <c r="FI91" s="1" t="n">
        <v>1.02537258883249</v>
      </c>
      <c r="FJ91" s="1" t="s">
        <v>225</v>
      </c>
      <c r="FK91" s="1" t="n">
        <v>113.613419035533</v>
      </c>
      <c r="FL91" s="1" t="n">
        <v>0.67350957639594</v>
      </c>
    </row>
    <row r="92" customFormat="false" ht="12.8" hidden="false" customHeight="false" outlineLevel="0" collapsed="false">
      <c r="A92" s="1" t="s">
        <v>305</v>
      </c>
      <c r="B92" s="6" t="n">
        <v>43287</v>
      </c>
      <c r="C92" s="25" t="n">
        <v>7</v>
      </c>
      <c r="D92" s="1" t="s">
        <v>169</v>
      </c>
      <c r="E92" s="1" t="s">
        <v>170</v>
      </c>
      <c r="F92" s="1" t="n">
        <v>22.6</v>
      </c>
      <c r="G92" s="1" t="n">
        <v>104</v>
      </c>
      <c r="H92" s="1" t="n">
        <v>1.5</v>
      </c>
      <c r="I92" s="1" t="n">
        <v>1.44230769230769</v>
      </c>
      <c r="J92" s="1" t="n">
        <v>104</v>
      </c>
      <c r="K92" s="1" t="n">
        <v>0.900965210961004</v>
      </c>
      <c r="M92" s="1" t="n">
        <v>0.0144230769230769</v>
      </c>
      <c r="N92" s="1" t="s">
        <v>173</v>
      </c>
      <c r="O92" s="1" t="s">
        <v>306</v>
      </c>
      <c r="P92" s="1" t="n">
        <v>92.6399794126046</v>
      </c>
      <c r="Q92" s="1" t="n">
        <v>0.0579195139480286</v>
      </c>
      <c r="R92" s="1" t="n">
        <v>5.51777266851647</v>
      </c>
      <c r="S92" s="1" t="n">
        <v>50.6</v>
      </c>
      <c r="T92" s="1" t="n">
        <v>20.94</v>
      </c>
      <c r="U92" s="1" t="s">
        <v>173</v>
      </c>
      <c r="V92" s="1" t="s">
        <v>173</v>
      </c>
      <c r="W92" s="1" t="s">
        <v>173</v>
      </c>
      <c r="X92" s="1" t="s">
        <v>173</v>
      </c>
      <c r="Y92" s="1" t="s">
        <v>173</v>
      </c>
      <c r="Z92" s="1" t="n">
        <v>0</v>
      </c>
      <c r="AA92" s="1" t="n">
        <v>318</v>
      </c>
      <c r="AB92" s="1" t="s">
        <v>173</v>
      </c>
      <c r="AC92" s="1" t="n">
        <v>1.37391304347826</v>
      </c>
      <c r="AD92" s="1" t="n">
        <v>0.867768595041322</v>
      </c>
      <c r="AF92" s="1" t="s">
        <v>173</v>
      </c>
      <c r="AG92" s="1" t="s">
        <v>173</v>
      </c>
      <c r="AH92" s="1" t="s">
        <v>173</v>
      </c>
      <c r="AI92" s="1" t="s">
        <v>173</v>
      </c>
      <c r="AJ92" s="1" t="s">
        <v>173</v>
      </c>
      <c r="AK92" s="1" t="s">
        <v>173</v>
      </c>
      <c r="AL92" s="1" t="s">
        <v>173</v>
      </c>
      <c r="AM92" s="1" t="s">
        <v>173</v>
      </c>
      <c r="AN92" s="1" t="n">
        <v>0.0858711410772127</v>
      </c>
      <c r="AO92" s="1" t="n">
        <v>0.00631541914145829</v>
      </c>
      <c r="AP92" s="1" t="n">
        <v>0.100165419436873</v>
      </c>
      <c r="AQ92" s="1" t="n">
        <v>7.73860735525508</v>
      </c>
      <c r="AR92" s="1" t="n">
        <v>8.07487787660596</v>
      </c>
      <c r="AS92" s="1" t="n">
        <v>0</v>
      </c>
      <c r="AT92" s="1" t="n">
        <v>0.072156862745098</v>
      </c>
      <c r="AU92" s="1" t="n">
        <v>0.563660130718954</v>
      </c>
      <c r="AV92" s="1" t="n">
        <v>0.0358169934640523</v>
      </c>
      <c r="AW92" s="1" t="n">
        <v>0.157385620915033</v>
      </c>
      <c r="AX92" s="1" t="n">
        <v>2.14300653594771</v>
      </c>
      <c r="AY92" s="1" t="n">
        <v>0</v>
      </c>
      <c r="AZ92" s="1" t="n">
        <v>0.316601307189543</v>
      </c>
      <c r="BA92" s="1" t="n">
        <v>6.17777777777778</v>
      </c>
      <c r="BB92" s="1" t="n">
        <v>1.93830065359477</v>
      </c>
      <c r="BC92" s="1" t="n">
        <v>0.690196078431373</v>
      </c>
      <c r="BD92" s="1" t="n">
        <v>0.289673202614379</v>
      </c>
      <c r="BE92" s="1" t="n">
        <v>0.285751633986928</v>
      </c>
      <c r="BF92" s="1" t="n">
        <v>2.97202614379085</v>
      </c>
      <c r="BG92" s="1" t="n">
        <v>9.69830065359477</v>
      </c>
      <c r="BH92" s="1" t="n">
        <v>2.4083660130719</v>
      </c>
      <c r="BI92" s="1" t="n">
        <v>10.2619607843137</v>
      </c>
      <c r="BJ92" s="1" t="n">
        <v>3.80194805194805</v>
      </c>
      <c r="BK92" s="1" t="n">
        <v>12.6703267973856</v>
      </c>
    </row>
    <row r="93" customFormat="false" ht="12.8" hidden="false" customHeight="false" outlineLevel="0" collapsed="false">
      <c r="A93" s="1" t="s">
        <v>307</v>
      </c>
      <c r="B93" s="6" t="n">
        <v>43287</v>
      </c>
      <c r="C93" s="25" t="n">
        <v>7</v>
      </c>
      <c r="D93" s="1" t="s">
        <v>169</v>
      </c>
      <c r="E93" s="1" t="s">
        <v>170</v>
      </c>
      <c r="F93" s="1" t="n">
        <v>23.9</v>
      </c>
      <c r="G93" s="1" t="n">
        <v>128</v>
      </c>
      <c r="H93" s="1" t="n">
        <v>2.2</v>
      </c>
      <c r="I93" s="1" t="n">
        <v>1.71875</v>
      </c>
      <c r="J93" s="1" t="n">
        <v>128</v>
      </c>
      <c r="K93" s="1" t="n">
        <v>0.937597124624018</v>
      </c>
      <c r="M93" s="1" t="n">
        <v>0.0171875</v>
      </c>
      <c r="N93" s="1" t="s">
        <v>173</v>
      </c>
      <c r="P93" s="1" t="n">
        <v>72.2653899806471</v>
      </c>
      <c r="Q93" s="1" t="n">
        <v>0.0538342442171103</v>
      </c>
      <c r="R93" s="1" t="n">
        <v>4.4626853435225</v>
      </c>
      <c r="S93" s="1" t="n">
        <v>54.38</v>
      </c>
      <c r="T93" s="1" t="n">
        <v>24.2</v>
      </c>
      <c r="U93" s="1" t="s">
        <v>182</v>
      </c>
      <c r="V93" s="1" t="s">
        <v>173</v>
      </c>
      <c r="W93" s="1" t="s">
        <v>173</v>
      </c>
      <c r="X93" s="1" t="s">
        <v>173</v>
      </c>
      <c r="Y93" s="1" t="s">
        <v>173</v>
      </c>
      <c r="Z93" s="1" t="n">
        <v>0</v>
      </c>
      <c r="AA93" s="1" t="n">
        <v>297</v>
      </c>
      <c r="AB93" s="1" t="s">
        <v>173</v>
      </c>
      <c r="AC93" s="1" t="n">
        <v>1.28004807692308</v>
      </c>
      <c r="AD93" s="1" t="n">
        <v>1.34182736455464</v>
      </c>
      <c r="AE93" s="1" t="n">
        <v>0.521147411585584</v>
      </c>
      <c r="AF93" s="1" t="s">
        <v>173</v>
      </c>
      <c r="AG93" s="1" t="s">
        <v>173</v>
      </c>
      <c r="AH93" s="1" t="s">
        <v>173</v>
      </c>
      <c r="AI93" s="1" t="s">
        <v>173</v>
      </c>
      <c r="AJ93" s="1" t="s">
        <v>173</v>
      </c>
      <c r="AK93" s="1" t="s">
        <v>173</v>
      </c>
      <c r="AL93" s="1" t="s">
        <v>173</v>
      </c>
      <c r="AM93" s="1" t="s">
        <v>173</v>
      </c>
      <c r="AN93" s="1" t="n">
        <v>0.157078818914068</v>
      </c>
      <c r="AO93" s="1" t="n">
        <v>0.00485249651376075</v>
      </c>
      <c r="AP93" s="1" t="n">
        <v>0.119858042554033</v>
      </c>
      <c r="AQ93" s="1" t="n">
        <v>11.2586073552551</v>
      </c>
      <c r="AR93" s="1" t="n">
        <v>8.87487787660596</v>
      </c>
      <c r="AS93" s="1" t="n">
        <v>0</v>
      </c>
      <c r="AT93" s="1" t="n">
        <v>0.0160910199106054</v>
      </c>
      <c r="AU93" s="1" t="n">
        <v>0.524177163754571</v>
      </c>
      <c r="AV93" s="1" t="n">
        <v>0.0287687931735067</v>
      </c>
      <c r="AW93" s="1" t="n">
        <v>0.0987403494514425</v>
      </c>
      <c r="AX93" s="1" t="n">
        <v>1.4630637952052</v>
      </c>
      <c r="AY93" s="1" t="n">
        <v>0</v>
      </c>
      <c r="AZ93" s="1" t="n">
        <v>0.040568874441284</v>
      </c>
      <c r="BA93" s="1" t="n">
        <v>5.74888256806176</v>
      </c>
      <c r="BB93" s="1" t="n">
        <v>1.87533522958147</v>
      </c>
      <c r="BC93" s="1" t="n">
        <v>0.603413246647704</v>
      </c>
      <c r="BD93" s="1" t="n">
        <v>0.332791548151158</v>
      </c>
      <c r="BE93" s="1" t="n">
        <v>0.109028850060951</v>
      </c>
      <c r="BF93" s="1" t="n">
        <v>2.13084112149533</v>
      </c>
      <c r="BG93" s="1" t="n">
        <v>8.71002031694433</v>
      </c>
      <c r="BH93" s="1" t="n">
        <v>1.60666395774076</v>
      </c>
      <c r="BI93" s="1" t="n">
        <v>9.2341974806989</v>
      </c>
      <c r="BJ93" s="1" t="n">
        <v>2.79116279069767</v>
      </c>
      <c r="BK93" s="1" t="n">
        <v>10.8408614384397</v>
      </c>
    </row>
    <row r="94" customFormat="false" ht="12.8" hidden="false" customHeight="false" outlineLevel="0" collapsed="false">
      <c r="A94" s="1" t="s">
        <v>308</v>
      </c>
      <c r="B94" s="6" t="n">
        <v>43287</v>
      </c>
      <c r="C94" s="25" t="n">
        <v>7</v>
      </c>
      <c r="D94" s="1" t="s">
        <v>169</v>
      </c>
      <c r="E94" s="1" t="s">
        <v>175</v>
      </c>
      <c r="F94" s="1" t="n">
        <v>29.2</v>
      </c>
      <c r="G94" s="1" t="n">
        <v>243</v>
      </c>
      <c r="H94" s="1" t="n">
        <v>4</v>
      </c>
      <c r="I94" s="1" t="n">
        <v>1.64609053497942</v>
      </c>
      <c r="J94" s="1" t="n">
        <v>238.6</v>
      </c>
      <c r="K94" s="1" t="n">
        <v>0.958345008058774</v>
      </c>
      <c r="L94" s="1" t="n">
        <v>1.81069958847737</v>
      </c>
      <c r="M94" s="1" t="n">
        <v>0.0167644593461861</v>
      </c>
      <c r="N94" s="1" t="n">
        <v>4.4</v>
      </c>
      <c r="O94" s="1" t="s">
        <v>273</v>
      </c>
      <c r="P94" s="1" t="n">
        <v>126.418020830614</v>
      </c>
      <c r="Q94" s="1" t="n">
        <v>0.0573906412421278</v>
      </c>
      <c r="R94" s="1" t="n">
        <v>3.47489791660013</v>
      </c>
      <c r="S94" s="1" t="n">
        <v>54.17</v>
      </c>
      <c r="T94" s="1" t="s">
        <v>173</v>
      </c>
      <c r="U94" s="1" t="s">
        <v>182</v>
      </c>
      <c r="V94" s="1" t="s">
        <v>173</v>
      </c>
      <c r="W94" s="1" t="s">
        <v>173</v>
      </c>
      <c r="X94" s="1" t="s">
        <v>173</v>
      </c>
      <c r="Y94" s="1" t="s">
        <v>173</v>
      </c>
      <c r="Z94" s="1" t="n">
        <v>1</v>
      </c>
      <c r="AA94" s="1" t="s">
        <v>173</v>
      </c>
      <c r="AB94" s="1" t="n">
        <v>52</v>
      </c>
      <c r="AC94" s="1" t="n">
        <v>1.89458343453971</v>
      </c>
      <c r="AD94" s="1" t="n">
        <v>0.755280073461892</v>
      </c>
      <c r="AE94" s="1" t="n">
        <v>0.205681642746516</v>
      </c>
      <c r="AF94" s="1" t="n">
        <v>2</v>
      </c>
      <c r="AG94" s="1" t="n">
        <v>113</v>
      </c>
      <c r="AH94" s="1" t="n">
        <v>58</v>
      </c>
      <c r="AI94" s="1" t="n">
        <v>54</v>
      </c>
      <c r="AJ94" s="1" t="n">
        <v>0</v>
      </c>
      <c r="AK94" s="1" t="n">
        <v>0</v>
      </c>
      <c r="AL94" s="1" t="n">
        <v>1</v>
      </c>
      <c r="AM94" s="1" t="n">
        <v>1.48214285714286</v>
      </c>
      <c r="AN94" s="1" t="n">
        <v>0.158788067604517</v>
      </c>
      <c r="AO94" s="1" t="n">
        <v>0.00130473764622395</v>
      </c>
      <c r="AP94" s="1" t="n">
        <v>0.0724702516881761</v>
      </c>
      <c r="AQ94" s="1" t="n">
        <v>9.95617480343756</v>
      </c>
      <c r="AR94" s="1" t="n">
        <v>11.5666121559008</v>
      </c>
      <c r="AS94" s="1" t="n">
        <v>0.0403712296983759</v>
      </c>
      <c r="AT94" s="1" t="n">
        <v>0.014199535962877</v>
      </c>
      <c r="AU94" s="1" t="n">
        <v>0.471925754060325</v>
      </c>
      <c r="AV94" s="1" t="n">
        <v>0.0278422273781903</v>
      </c>
      <c r="AW94" s="1" t="n">
        <v>0.0910440835266821</v>
      </c>
      <c r="AX94" s="1" t="n">
        <v>4.43526682134571</v>
      </c>
      <c r="AY94" s="1" t="n">
        <v>0</v>
      </c>
      <c r="AZ94" s="1" t="n">
        <v>0.239638051044084</v>
      </c>
      <c r="BA94" s="1" t="n">
        <v>5.80510440835267</v>
      </c>
      <c r="BB94" s="1" t="n">
        <v>1.94839907192575</v>
      </c>
      <c r="BC94" s="1" t="n">
        <v>0.688259860788863</v>
      </c>
      <c r="BD94" s="1" t="n">
        <v>0.292064965197216</v>
      </c>
      <c r="BE94" s="1" t="n">
        <v>0.273020881670534</v>
      </c>
      <c r="BF94" s="1" t="n">
        <v>5.08064965197216</v>
      </c>
      <c r="BG94" s="1" t="n">
        <v>9.24648723897912</v>
      </c>
      <c r="BH94" s="1" t="n">
        <v>4.60872389791183</v>
      </c>
      <c r="BI94" s="1" t="n">
        <v>9.71841299303944</v>
      </c>
      <c r="BJ94" s="1" t="n">
        <v>9.39823008849558</v>
      </c>
      <c r="BK94" s="1" t="n">
        <v>14.3271368909513</v>
      </c>
      <c r="BL94" s="7" t="n">
        <v>38.526320943691</v>
      </c>
      <c r="BM94" s="7" t="s">
        <v>224</v>
      </c>
      <c r="BN94" s="7" t="s">
        <v>223</v>
      </c>
      <c r="BO94" s="7" t="s">
        <v>223</v>
      </c>
      <c r="BP94" s="7" t="s">
        <v>223</v>
      </c>
      <c r="BQ94" s="7" t="s">
        <v>223</v>
      </c>
      <c r="BR94" s="7" t="s">
        <v>223</v>
      </c>
      <c r="BS94" s="7" t="s">
        <v>223</v>
      </c>
      <c r="BT94" s="7" t="n">
        <v>5.45460383946341</v>
      </c>
      <c r="BU94" s="7" t="n">
        <v>35.7548326157803</v>
      </c>
      <c r="BV94" s="7" t="s">
        <v>223</v>
      </c>
      <c r="BW94" s="7" t="n">
        <v>10.3368987768573</v>
      </c>
      <c r="BX94" s="7" t="s">
        <v>223</v>
      </c>
      <c r="BY94" s="7" t="n">
        <v>10.9444835615484</v>
      </c>
      <c r="BZ94" s="7" t="s">
        <v>223</v>
      </c>
      <c r="CA94" s="7" t="n">
        <v>2.73153126622718</v>
      </c>
      <c r="CB94" s="7" t="s">
        <v>223</v>
      </c>
      <c r="CC94" s="7" t="s">
        <v>224</v>
      </c>
      <c r="CD94" s="7" t="s">
        <v>223</v>
      </c>
      <c r="CE94" s="7" t="n">
        <v>9.00437267434894</v>
      </c>
      <c r="CF94" s="7" t="s">
        <v>223</v>
      </c>
      <c r="CG94" s="7" t="s">
        <v>223</v>
      </c>
      <c r="CH94" s="7" t="s">
        <v>223</v>
      </c>
      <c r="CI94" s="7" t="s">
        <v>223</v>
      </c>
      <c r="CJ94" s="10" t="n">
        <f aca="false">SUM(BL94:CI94)</f>
        <v>112.753043677917</v>
      </c>
      <c r="CK94" s="7" t="s">
        <v>223</v>
      </c>
      <c r="CL94" s="7" t="s">
        <v>223</v>
      </c>
      <c r="CM94" s="7" t="s">
        <v>223</v>
      </c>
      <c r="CN94" s="7" t="s">
        <v>223</v>
      </c>
      <c r="CO94" s="7" t="s">
        <v>224</v>
      </c>
      <c r="CP94" s="7" t="s">
        <v>223</v>
      </c>
      <c r="CQ94" s="7" t="s">
        <v>224</v>
      </c>
      <c r="CR94" s="7" t="n">
        <v>2.79801032743757</v>
      </c>
      <c r="CS94" s="7" t="n">
        <v>4.15497265414206</v>
      </c>
      <c r="CT94" s="7" t="s">
        <v>223</v>
      </c>
      <c r="CU94" s="7" t="n">
        <v>5.69777559870707</v>
      </c>
      <c r="CV94" s="7" t="s">
        <v>223</v>
      </c>
      <c r="CW94" s="7" t="s">
        <v>224</v>
      </c>
      <c r="CX94" s="7" t="n">
        <v>6.74452319209144</v>
      </c>
      <c r="CY94" s="7" t="s">
        <v>223</v>
      </c>
      <c r="CZ94" s="7" t="s">
        <v>223</v>
      </c>
      <c r="DA94" s="7" t="s">
        <v>223</v>
      </c>
      <c r="DB94" s="7" t="s">
        <v>224</v>
      </c>
      <c r="DC94" s="7" t="s">
        <v>224</v>
      </c>
      <c r="DD94" s="7" t="n">
        <v>16.5306670697599</v>
      </c>
      <c r="DE94" s="7" t="s">
        <v>223</v>
      </c>
      <c r="DF94" s="7" t="s">
        <v>223</v>
      </c>
      <c r="DG94" s="7" t="s">
        <v>223</v>
      </c>
      <c r="DH94" s="7" t="s">
        <v>223</v>
      </c>
      <c r="DI94" s="7" t="s">
        <v>223</v>
      </c>
      <c r="DJ94" s="7" t="s">
        <v>223</v>
      </c>
      <c r="DK94" s="10" t="n">
        <f aca="false">SUM(CK94:DJ94)</f>
        <v>35.925948842138</v>
      </c>
      <c r="DL94" s="7" t="s">
        <v>223</v>
      </c>
      <c r="DM94" s="7" t="s">
        <v>223</v>
      </c>
      <c r="DN94" s="7" t="s">
        <v>223</v>
      </c>
      <c r="DO94" s="7" t="s">
        <v>223</v>
      </c>
      <c r="DP94" s="7" t="s">
        <v>223</v>
      </c>
      <c r="DQ94" s="7" t="s">
        <v>223</v>
      </c>
      <c r="DR94" s="7" t="s">
        <v>223</v>
      </c>
      <c r="DS94" s="7" t="s">
        <v>223</v>
      </c>
      <c r="DT94" s="7" t="s">
        <v>223</v>
      </c>
      <c r="DU94" s="7" t="s">
        <v>223</v>
      </c>
      <c r="DV94" s="7" t="s">
        <v>223</v>
      </c>
      <c r="DW94" s="7" t="n">
        <v>3.54024497314757</v>
      </c>
      <c r="DX94" s="7" t="s">
        <v>223</v>
      </c>
      <c r="DY94" s="7" t="s">
        <v>223</v>
      </c>
      <c r="DZ94" s="7" t="s">
        <v>223</v>
      </c>
      <c r="EA94" s="7" t="s">
        <v>223</v>
      </c>
      <c r="EB94" s="7" t="s">
        <v>223</v>
      </c>
      <c r="EC94" s="7" t="s">
        <v>223</v>
      </c>
      <c r="ED94" s="7" t="s">
        <v>223</v>
      </c>
      <c r="EE94" s="7" t="s">
        <v>223</v>
      </c>
      <c r="EF94" s="7" t="s">
        <v>223</v>
      </c>
      <c r="EG94" s="7" t="s">
        <v>223</v>
      </c>
      <c r="EH94" s="7" t="s">
        <v>223</v>
      </c>
      <c r="EI94" s="7" t="s">
        <v>223</v>
      </c>
      <c r="EJ94" s="7" t="s">
        <v>223</v>
      </c>
      <c r="EK94" s="7" t="s">
        <v>223</v>
      </c>
      <c r="EL94" s="7" t="s">
        <v>223</v>
      </c>
      <c r="EM94" s="10" t="n">
        <f aca="false">SUM(DL94:EL94)</f>
        <v>3.54024497314757</v>
      </c>
      <c r="EN94" s="7" t="s">
        <v>223</v>
      </c>
      <c r="EO94" s="7" t="n">
        <v>4.85102910181995</v>
      </c>
      <c r="EP94" s="7" t="s">
        <v>223</v>
      </c>
      <c r="EQ94" s="7" t="s">
        <v>223</v>
      </c>
      <c r="ER94" s="7" t="s">
        <v>223</v>
      </c>
      <c r="ES94" s="7" t="s">
        <v>223</v>
      </c>
      <c r="ET94" s="7" t="s">
        <v>223</v>
      </c>
      <c r="EU94" s="27" t="n">
        <f aca="false">SUM(EN94:ET94)</f>
        <v>4.85102910181995</v>
      </c>
      <c r="EV94" s="1" t="n">
        <v>0.0177905621905039</v>
      </c>
      <c r="EW94" s="1" t="n">
        <v>2.20958782406058</v>
      </c>
      <c r="EX94" s="1" t="n">
        <v>0.0355811243810078</v>
      </c>
      <c r="EY94" s="1" t="s">
        <v>225</v>
      </c>
      <c r="EZ94" s="1" t="s">
        <v>225</v>
      </c>
      <c r="FA94" s="1" t="n">
        <v>30.3044436353043</v>
      </c>
      <c r="FB94" s="1" t="n">
        <v>437.3026929799</v>
      </c>
      <c r="FC94" s="1" t="n">
        <v>0.152998834838333</v>
      </c>
      <c r="FD94" s="1" t="n">
        <v>2.17400669967957</v>
      </c>
      <c r="FE94" s="1" t="n">
        <v>0.110301485581124</v>
      </c>
      <c r="FF94" s="1" t="n">
        <v>0.0213486746286047</v>
      </c>
      <c r="FG94" s="1" t="s">
        <v>225</v>
      </c>
      <c r="FH94" s="1" t="n">
        <v>1.00694581998252</v>
      </c>
      <c r="FI94" s="1" t="n">
        <v>0.384276143314884</v>
      </c>
      <c r="FJ94" s="1" t="s">
        <v>225</v>
      </c>
      <c r="FK94" s="1" t="n">
        <v>99.6378226041361</v>
      </c>
      <c r="FL94" s="1" t="n">
        <v>0.551290383046896</v>
      </c>
    </row>
    <row r="95" customFormat="false" ht="12.8" hidden="false" customHeight="false" outlineLevel="0" collapsed="false">
      <c r="A95" s="1" t="s">
        <v>309</v>
      </c>
      <c r="B95" s="6" t="n">
        <v>43287</v>
      </c>
      <c r="C95" s="25" t="n">
        <v>7</v>
      </c>
      <c r="D95" s="1" t="s">
        <v>169</v>
      </c>
      <c r="E95" s="1" t="s">
        <v>175</v>
      </c>
      <c r="F95" s="1" t="n">
        <v>23.7</v>
      </c>
      <c r="G95" s="1" t="n">
        <v>130</v>
      </c>
      <c r="H95" s="1" t="n">
        <v>2.6</v>
      </c>
      <c r="I95" s="1" t="n">
        <v>2</v>
      </c>
      <c r="J95" s="1" t="n">
        <v>129.1</v>
      </c>
      <c r="K95" s="1" t="n">
        <v>0.969797821568169</v>
      </c>
      <c r="L95" s="1" t="n">
        <v>0.692307692307692</v>
      </c>
      <c r="M95" s="1" t="n">
        <v>0.0201394268009295</v>
      </c>
      <c r="N95" s="1" t="n">
        <v>0.9</v>
      </c>
      <c r="P95" s="1" t="n">
        <v>87.700479053455</v>
      </c>
      <c r="Q95" s="1" t="n">
        <v>0.04843390366994</v>
      </c>
      <c r="R95" s="1" t="n">
        <v>5.355222412227</v>
      </c>
      <c r="S95" s="1" t="n">
        <v>34.61</v>
      </c>
      <c r="T95" s="1" t="s">
        <v>173</v>
      </c>
      <c r="U95" s="1" t="s">
        <v>182</v>
      </c>
      <c r="V95" s="1" t="s">
        <v>173</v>
      </c>
      <c r="W95" s="1" t="s">
        <v>173</v>
      </c>
      <c r="X95" s="1" t="s">
        <v>173</v>
      </c>
      <c r="Y95" s="1" t="s">
        <v>173</v>
      </c>
      <c r="Z95" s="1" t="n">
        <v>2</v>
      </c>
      <c r="AA95" s="1" t="s">
        <v>173</v>
      </c>
      <c r="AB95" s="1" t="n">
        <v>21</v>
      </c>
      <c r="AC95" s="1" t="n">
        <v>2.78235142783638</v>
      </c>
      <c r="AD95" s="1" t="n">
        <v>0.823576675849403</v>
      </c>
      <c r="AE95" s="1" t="n">
        <v>0.746750360313911</v>
      </c>
      <c r="AF95" s="1" t="n">
        <v>2</v>
      </c>
      <c r="AG95" s="1" t="n">
        <v>116</v>
      </c>
      <c r="AH95" s="1" t="n">
        <v>54</v>
      </c>
      <c r="AI95" s="1" t="n">
        <v>62</v>
      </c>
      <c r="AJ95" s="1" t="n">
        <v>0</v>
      </c>
      <c r="AK95" s="1" t="n">
        <v>0</v>
      </c>
      <c r="AL95" s="1" t="n">
        <v>0</v>
      </c>
      <c r="AM95" s="1" t="n">
        <v>1.53448275862069</v>
      </c>
      <c r="AN95" s="1" t="n">
        <v>0.111492657900797</v>
      </c>
      <c r="AO95" s="1" t="n">
        <v>0.00416855471710931</v>
      </c>
      <c r="AP95" s="1" t="n">
        <v>0.162389392117355</v>
      </c>
      <c r="AQ95" s="1" t="n">
        <v>13.4586073552551</v>
      </c>
      <c r="AR95" s="1" t="n">
        <v>8.07487787660596</v>
      </c>
      <c r="AS95" s="1" t="n">
        <v>0</v>
      </c>
      <c r="AT95" s="1" t="n">
        <v>0.0721477725461789</v>
      </c>
      <c r="AU95" s="1" t="n">
        <v>0.456356392611373</v>
      </c>
      <c r="AV95" s="1" t="n">
        <v>0.0308583846432452</v>
      </c>
      <c r="AW95" s="1" t="n">
        <v>0.067366896052155</v>
      </c>
      <c r="AX95" s="1" t="n">
        <v>0.642593263310395</v>
      </c>
      <c r="AY95" s="1" t="n">
        <v>0</v>
      </c>
      <c r="AZ95" s="1" t="n">
        <v>0.0303802969938428</v>
      </c>
      <c r="BA95" s="1" t="n">
        <v>4.66352770735241</v>
      </c>
      <c r="BB95" s="1" t="n">
        <v>1.68873596522999</v>
      </c>
      <c r="BC95" s="1" t="n">
        <v>0.628250633828323</v>
      </c>
      <c r="BD95" s="1" t="n">
        <v>0.14264396957624</v>
      </c>
      <c r="BE95" s="1" t="n">
        <v>0.108417240130388</v>
      </c>
      <c r="BF95" s="1" t="n">
        <v>1.26932270916335</v>
      </c>
      <c r="BG95" s="1" t="n">
        <v>7.26195581311119</v>
      </c>
      <c r="BH95" s="1" t="n">
        <v>0.812966316551974</v>
      </c>
      <c r="BI95" s="1" t="n">
        <v>7.71831220572256</v>
      </c>
      <c r="BJ95" s="1" t="n">
        <v>1.40809523809524</v>
      </c>
      <c r="BK95" s="1" t="n">
        <v>8.53127852227454</v>
      </c>
    </row>
    <row r="96" customFormat="false" ht="12.8" hidden="false" customHeight="false" outlineLevel="0" collapsed="false">
      <c r="A96" s="1" t="s">
        <v>310</v>
      </c>
      <c r="B96" s="6" t="n">
        <v>43287</v>
      </c>
      <c r="C96" s="25" t="n">
        <v>7</v>
      </c>
      <c r="D96" s="1" t="s">
        <v>169</v>
      </c>
      <c r="E96" s="1" t="s">
        <v>175</v>
      </c>
      <c r="F96" s="1" t="n">
        <v>20.5</v>
      </c>
      <c r="G96" s="1" t="n">
        <v>85</v>
      </c>
      <c r="H96" s="1" t="n">
        <v>1.4</v>
      </c>
      <c r="I96" s="1" t="n">
        <v>1.64705882352941</v>
      </c>
      <c r="J96" s="1" t="n">
        <v>84.4</v>
      </c>
      <c r="K96" s="1" t="n">
        <v>0.979672378520335</v>
      </c>
      <c r="L96" s="1" t="n">
        <v>0.705882352941177</v>
      </c>
      <c r="M96" s="1" t="n">
        <v>0.0165876777251185</v>
      </c>
      <c r="N96" s="1" t="n">
        <v>0.6</v>
      </c>
      <c r="P96" s="1" t="n">
        <v>44.282090496654</v>
      </c>
      <c r="Q96" s="1" t="n">
        <v>0.0547582703930301</v>
      </c>
      <c r="R96" s="1" t="n">
        <v>4.68581961069863</v>
      </c>
      <c r="S96" s="1" t="n">
        <v>46.6</v>
      </c>
      <c r="T96" s="1" t="s">
        <v>173</v>
      </c>
      <c r="U96" s="1" t="s">
        <v>173</v>
      </c>
      <c r="V96" s="1" t="s">
        <v>173</v>
      </c>
      <c r="W96" s="1" t="s">
        <v>173</v>
      </c>
      <c r="X96" s="1" t="s">
        <v>173</v>
      </c>
      <c r="Y96" s="1" t="s">
        <v>173</v>
      </c>
      <c r="Z96" s="1" t="n">
        <v>0</v>
      </c>
      <c r="AA96" s="1" t="s">
        <v>173</v>
      </c>
      <c r="AB96" s="1" t="n">
        <v>133</v>
      </c>
      <c r="AC96" s="1" t="n">
        <v>1.45833333333333</v>
      </c>
      <c r="AD96" s="1" t="n">
        <v>0.630739210284665</v>
      </c>
      <c r="AE96" s="1" t="n">
        <v>0.647439655699878</v>
      </c>
      <c r="AF96" s="1" t="n">
        <v>2</v>
      </c>
      <c r="AG96" s="1" t="n">
        <v>107</v>
      </c>
      <c r="AH96" s="1" t="n">
        <v>62</v>
      </c>
      <c r="AI96" s="1" t="n">
        <v>45</v>
      </c>
      <c r="AJ96" s="1" t="n">
        <v>0</v>
      </c>
      <c r="AK96" s="1" t="n">
        <v>0</v>
      </c>
      <c r="AL96" s="1" t="n">
        <v>0</v>
      </c>
      <c r="AM96" s="1" t="n">
        <v>1.42056074766355</v>
      </c>
      <c r="AN96" s="1" t="n">
        <v>0.0538050638503098</v>
      </c>
      <c r="AO96" s="1" t="n">
        <v>0.00302964846540472</v>
      </c>
      <c r="AP96" s="1" t="n">
        <v>0.136066733847585</v>
      </c>
      <c r="AQ96" s="1" t="n">
        <v>15.3386073552551</v>
      </c>
      <c r="AR96" s="1" t="n">
        <v>9.47487787660596</v>
      </c>
      <c r="AS96" s="1" t="n">
        <v>0.0455757575757576</v>
      </c>
      <c r="AT96" s="1" t="n">
        <v>0.109333333333333</v>
      </c>
      <c r="AU96" s="1" t="n">
        <v>0.696</v>
      </c>
      <c r="AV96" s="1" t="n">
        <v>0.0363636363636364</v>
      </c>
      <c r="AW96" s="1" t="n">
        <v>0.202666666666667</v>
      </c>
      <c r="AX96" s="1" t="n">
        <v>6.88</v>
      </c>
      <c r="AY96" s="1" t="n">
        <v>0</v>
      </c>
      <c r="AZ96" s="1" t="n">
        <v>0.0994909090909091</v>
      </c>
      <c r="BA96" s="1" t="n">
        <v>7.6630303030303</v>
      </c>
      <c r="BB96" s="1" t="n">
        <v>2.36969696969697</v>
      </c>
      <c r="BC96" s="1" t="n">
        <v>0.879030303030303</v>
      </c>
      <c r="BD96" s="1" t="n">
        <v>0.31030303030303</v>
      </c>
      <c r="BE96" s="1" t="n">
        <v>0.244606060606061</v>
      </c>
      <c r="BF96" s="1" t="n">
        <v>7.96993939393939</v>
      </c>
      <c r="BG96" s="1" t="n">
        <v>11.5661575757576</v>
      </c>
      <c r="BH96" s="1" t="n">
        <v>7.27393939393939</v>
      </c>
      <c r="BI96" s="1" t="n">
        <v>12.2621575757576</v>
      </c>
      <c r="BJ96" s="1" t="n">
        <v>9.88505747126437</v>
      </c>
      <c r="BK96" s="1" t="n">
        <v>19.536096969697</v>
      </c>
    </row>
    <row r="97" customFormat="false" ht="12.8" hidden="false" customHeight="false" outlineLevel="0" collapsed="false">
      <c r="A97" s="1" t="s">
        <v>311</v>
      </c>
      <c r="B97" s="6" t="n">
        <v>43287</v>
      </c>
      <c r="C97" s="25" t="n">
        <v>7</v>
      </c>
      <c r="D97" s="1" t="s">
        <v>169</v>
      </c>
      <c r="E97" s="1" t="s">
        <v>170</v>
      </c>
      <c r="F97" s="1" t="n">
        <v>26</v>
      </c>
      <c r="G97" s="1" t="n">
        <v>173</v>
      </c>
      <c r="H97" s="1" t="n">
        <v>3.2</v>
      </c>
      <c r="I97" s="1" t="n">
        <v>1.84971098265896</v>
      </c>
      <c r="J97" s="1" t="n">
        <v>173</v>
      </c>
      <c r="K97" s="1" t="n">
        <v>0.984296768320437</v>
      </c>
      <c r="M97" s="1" t="n">
        <v>0.0184971098265896</v>
      </c>
      <c r="N97" s="1" t="s">
        <v>173</v>
      </c>
      <c r="O97" s="1" t="s">
        <v>273</v>
      </c>
      <c r="P97" s="1" t="n">
        <v>116.900251181049</v>
      </c>
      <c r="Q97" s="1" t="n">
        <v>0.0684797101338048</v>
      </c>
      <c r="R97" s="1" t="n">
        <v>3.07461309120104</v>
      </c>
      <c r="S97" s="1" t="n">
        <v>55.15</v>
      </c>
      <c r="T97" s="1" t="n">
        <v>25.84</v>
      </c>
      <c r="U97" s="1" t="s">
        <v>173</v>
      </c>
      <c r="V97" s="1" t="s">
        <v>173</v>
      </c>
      <c r="W97" s="1" t="s">
        <v>173</v>
      </c>
      <c r="X97" s="1" t="s">
        <v>173</v>
      </c>
      <c r="Y97" s="1" t="s">
        <v>173</v>
      </c>
      <c r="Z97" s="1" t="n">
        <v>0</v>
      </c>
      <c r="AA97" s="1" t="n">
        <v>328</v>
      </c>
      <c r="AB97" s="1" t="s">
        <v>173</v>
      </c>
      <c r="AC97" s="1" t="n">
        <v>0.990190880169671</v>
      </c>
      <c r="AD97" s="1" t="n">
        <v>0.731175390266299</v>
      </c>
      <c r="AE97" s="1" t="n">
        <v>0</v>
      </c>
      <c r="AF97" s="1" t="s">
        <v>173</v>
      </c>
      <c r="AG97" s="1" t="s">
        <v>173</v>
      </c>
      <c r="AH97" s="1" t="s">
        <v>173</v>
      </c>
      <c r="AI97" s="1" t="s">
        <v>173</v>
      </c>
      <c r="AJ97" s="1" t="s">
        <v>173</v>
      </c>
      <c r="AK97" s="1" t="s">
        <v>173</v>
      </c>
      <c r="AL97" s="1" t="s">
        <v>173</v>
      </c>
      <c r="AM97" s="1" t="s">
        <v>173</v>
      </c>
      <c r="AN97" s="1" t="n">
        <v>0.0679489583681605</v>
      </c>
      <c r="AO97" s="1" t="n">
        <v>0.00136240059726692</v>
      </c>
      <c r="AP97" s="1" t="n">
        <v>0.104317095476238</v>
      </c>
      <c r="AQ97" s="1" t="n">
        <v>9.85860735525509</v>
      </c>
      <c r="AR97" s="1" t="n">
        <v>8.43487787660596</v>
      </c>
      <c r="AS97" s="1" t="n">
        <v>0</v>
      </c>
      <c r="AT97" s="1" t="n">
        <v>0.0376229508196721</v>
      </c>
      <c r="AU97" s="1" t="n">
        <v>0.743852459016393</v>
      </c>
      <c r="AV97" s="1" t="n">
        <v>0.0686065573770492</v>
      </c>
      <c r="AW97" s="1" t="n">
        <v>0.27344262295082</v>
      </c>
      <c r="AX97" s="1" t="n">
        <v>7.78500033396033</v>
      </c>
      <c r="AY97" s="1" t="n">
        <v>0</v>
      </c>
      <c r="AZ97" s="1" t="n">
        <v>0.0651885245901639</v>
      </c>
      <c r="BA97" s="1" t="n">
        <v>7.42131147540984</v>
      </c>
      <c r="BB97" s="1" t="n">
        <v>2.27655737704918</v>
      </c>
      <c r="BC97" s="1" t="n">
        <v>0.759098360655738</v>
      </c>
      <c r="BD97" s="1" t="n">
        <v>0.259918032786885</v>
      </c>
      <c r="BE97" s="1" t="n">
        <v>0.232696721311475</v>
      </c>
      <c r="BF97" s="1" t="n">
        <v>8.90852492412427</v>
      </c>
      <c r="BG97" s="1" t="n">
        <v>11.0147704918033</v>
      </c>
      <c r="BH97" s="1" t="n">
        <v>8.16467246510787</v>
      </c>
      <c r="BI97" s="1" t="n">
        <v>11.7586229508197</v>
      </c>
      <c r="BJ97" s="1" t="n">
        <v>10.4657855729274</v>
      </c>
      <c r="BK97" s="1" t="n">
        <v>19.9232954159275</v>
      </c>
      <c r="BL97" s="7" t="n">
        <v>35.9866408574139</v>
      </c>
      <c r="BM97" s="7" t="s">
        <v>224</v>
      </c>
      <c r="BN97" s="7" t="s">
        <v>223</v>
      </c>
      <c r="BO97" s="7" t="s">
        <v>223</v>
      </c>
      <c r="BP97" s="7" t="s">
        <v>223</v>
      </c>
      <c r="BQ97" s="7" t="s">
        <v>223</v>
      </c>
      <c r="BR97" s="7" t="s">
        <v>223</v>
      </c>
      <c r="BS97" s="7" t="s">
        <v>223</v>
      </c>
      <c r="BT97" s="7" t="s">
        <v>224</v>
      </c>
      <c r="BU97" s="7" t="s">
        <v>224</v>
      </c>
      <c r="BV97" s="7" t="s">
        <v>223</v>
      </c>
      <c r="BW97" s="7" t="n">
        <v>6.67670862382894</v>
      </c>
      <c r="BX97" s="7" t="s">
        <v>223</v>
      </c>
      <c r="BY97" s="7" t="n">
        <v>52.8546377900754</v>
      </c>
      <c r="BZ97" s="7" t="s">
        <v>224</v>
      </c>
      <c r="CA97" s="7" t="n">
        <v>3.40797565638722</v>
      </c>
      <c r="CB97" s="7" t="s">
        <v>223</v>
      </c>
      <c r="CC97" s="7" t="s">
        <v>224</v>
      </c>
      <c r="CD97" s="7" t="s">
        <v>223</v>
      </c>
      <c r="CE97" s="7" t="n">
        <v>8.73357473070529</v>
      </c>
      <c r="CF97" s="7" t="s">
        <v>223</v>
      </c>
      <c r="CG97" s="7" t="s">
        <v>223</v>
      </c>
      <c r="CH97" s="7" t="s">
        <v>223</v>
      </c>
      <c r="CI97" s="7" t="n">
        <v>2.6587328698417</v>
      </c>
      <c r="CJ97" s="10" t="n">
        <f aca="false">SUM(BL97:CI97)</f>
        <v>110.318270528252</v>
      </c>
      <c r="CK97" s="7" t="s">
        <v>223</v>
      </c>
      <c r="CL97" s="7" t="s">
        <v>224</v>
      </c>
      <c r="CM97" s="7" t="s">
        <v>224</v>
      </c>
      <c r="CN97" s="7" t="s">
        <v>224</v>
      </c>
      <c r="CO97" s="7" t="s">
        <v>224</v>
      </c>
      <c r="CP97" s="7" t="s">
        <v>223</v>
      </c>
      <c r="CQ97" s="7" t="s">
        <v>223</v>
      </c>
      <c r="CR97" s="7" t="s">
        <v>224</v>
      </c>
      <c r="CS97" s="7" t="n">
        <v>4.4288718197306</v>
      </c>
      <c r="CT97" s="7" t="s">
        <v>223</v>
      </c>
      <c r="CU97" s="7" t="n">
        <v>13.4312803712271</v>
      </c>
      <c r="CV97" s="7" t="s">
        <v>224</v>
      </c>
      <c r="CW97" s="7" t="n">
        <v>6.95421800156377</v>
      </c>
      <c r="CX97" s="7" t="n">
        <v>19.2507355245621</v>
      </c>
      <c r="CY97" s="7" t="s">
        <v>224</v>
      </c>
      <c r="CZ97" s="7" t="s">
        <v>223</v>
      </c>
      <c r="DA97" s="7" t="s">
        <v>224</v>
      </c>
      <c r="DB97" s="7" t="n">
        <v>65.9216532141312</v>
      </c>
      <c r="DC97" s="7" t="n">
        <v>9.74948244880608</v>
      </c>
      <c r="DD97" s="7" t="n">
        <v>73.8983940459653</v>
      </c>
      <c r="DE97" s="7" t="s">
        <v>224</v>
      </c>
      <c r="DF97" s="7" t="s">
        <v>223</v>
      </c>
      <c r="DG97" s="7" t="s">
        <v>224</v>
      </c>
      <c r="DH97" s="7" t="n">
        <v>26.1983384139564</v>
      </c>
      <c r="DI97" s="7" t="n">
        <v>33.3623964490946</v>
      </c>
      <c r="DJ97" s="7" t="s">
        <v>224</v>
      </c>
      <c r="DK97" s="10" t="n">
        <f aca="false">SUM(CK97:DJ97)</f>
        <v>253.195370289037</v>
      </c>
      <c r="DL97" s="7" t="s">
        <v>223</v>
      </c>
      <c r="DM97" s="7" t="s">
        <v>223</v>
      </c>
      <c r="DN97" s="7" t="s">
        <v>223</v>
      </c>
      <c r="DO97" s="7" t="s">
        <v>223</v>
      </c>
      <c r="DP97" s="7" t="s">
        <v>223</v>
      </c>
      <c r="DQ97" s="7" t="s">
        <v>223</v>
      </c>
      <c r="DR97" s="7" t="s">
        <v>223</v>
      </c>
      <c r="DS97" s="7" t="s">
        <v>223</v>
      </c>
      <c r="DT97" s="7" t="s">
        <v>223</v>
      </c>
      <c r="DU97" s="7" t="s">
        <v>223</v>
      </c>
      <c r="DV97" s="7" t="s">
        <v>223</v>
      </c>
      <c r="DW97" s="7" t="n">
        <v>2.33123059521912</v>
      </c>
      <c r="DX97" s="7" t="s">
        <v>223</v>
      </c>
      <c r="DY97" s="7" t="s">
        <v>223</v>
      </c>
      <c r="DZ97" s="7" t="s">
        <v>223</v>
      </c>
      <c r="EA97" s="7" t="s">
        <v>223</v>
      </c>
      <c r="EB97" s="7" t="s">
        <v>223</v>
      </c>
      <c r="EC97" s="7" t="s">
        <v>223</v>
      </c>
      <c r="ED97" s="7" t="s">
        <v>223</v>
      </c>
      <c r="EE97" s="7" t="s">
        <v>223</v>
      </c>
      <c r="EF97" s="7" t="s">
        <v>223</v>
      </c>
      <c r="EG97" s="7" t="s">
        <v>223</v>
      </c>
      <c r="EH97" s="7" t="s">
        <v>223</v>
      </c>
      <c r="EI97" s="7" t="s">
        <v>223</v>
      </c>
      <c r="EJ97" s="7" t="s">
        <v>223</v>
      </c>
      <c r="EK97" s="7" t="s">
        <v>223</v>
      </c>
      <c r="EL97" s="7" t="s">
        <v>223</v>
      </c>
      <c r="EM97" s="10" t="n">
        <f aca="false">SUM(DL97:EL97)</f>
        <v>2.33123059521912</v>
      </c>
      <c r="EN97" s="7" t="s">
        <v>223</v>
      </c>
      <c r="EO97" s="7" t="n">
        <v>5.9549022861177</v>
      </c>
      <c r="EP97" s="7" t="s">
        <v>223</v>
      </c>
      <c r="EQ97" s="7" t="n">
        <v>8.13572041282638</v>
      </c>
      <c r="ER97" s="7" t="s">
        <v>223</v>
      </c>
      <c r="ES97" s="7" t="s">
        <v>223</v>
      </c>
      <c r="ET97" s="7" t="s">
        <v>223</v>
      </c>
      <c r="EU97" s="27" t="n">
        <f aca="false">SUM(EN97:ET97)</f>
        <v>14.0906226989441</v>
      </c>
      <c r="EV97" s="1" t="n">
        <v>0.0220195540935672</v>
      </c>
      <c r="EW97" s="1" t="n">
        <v>2.99025544590643</v>
      </c>
      <c r="EX97" s="1" t="n">
        <v>0.0761876571637427</v>
      </c>
      <c r="EY97" s="1" t="s">
        <v>225</v>
      </c>
      <c r="EZ97" s="1" t="s">
        <v>225</v>
      </c>
      <c r="FA97" s="1" t="n">
        <v>25.4149693347953</v>
      </c>
      <c r="FB97" s="1" t="n">
        <v>147.451742032164</v>
      </c>
      <c r="FC97" s="1" t="n">
        <v>0.00440391081871345</v>
      </c>
      <c r="FD97" s="1" t="n">
        <v>2.77446381578947</v>
      </c>
      <c r="FE97" s="1" t="s">
        <v>225</v>
      </c>
      <c r="FF97" s="1" t="n">
        <v>0.0308273757309941</v>
      </c>
      <c r="FG97" s="1" t="s">
        <v>225</v>
      </c>
      <c r="FH97" s="1" t="n">
        <v>1.03051513157895</v>
      </c>
      <c r="FI97" s="1" t="n">
        <v>0.550488852339181</v>
      </c>
      <c r="FJ97" s="1" t="s">
        <v>225</v>
      </c>
      <c r="FK97" s="1" t="n">
        <v>115.576235526316</v>
      </c>
      <c r="FL97" s="1" t="n">
        <v>0.650867191630117</v>
      </c>
    </row>
    <row r="98" customFormat="false" ht="12.8" hidden="false" customHeight="false" outlineLevel="0" collapsed="false">
      <c r="A98" s="1" t="s">
        <v>312</v>
      </c>
      <c r="B98" s="6" t="n">
        <v>43287</v>
      </c>
      <c r="C98" s="25" t="n">
        <v>7</v>
      </c>
      <c r="D98" s="1" t="s">
        <v>169</v>
      </c>
      <c r="E98" s="1" t="s">
        <v>170</v>
      </c>
      <c r="F98" s="1" t="n">
        <v>21.4</v>
      </c>
      <c r="G98" s="1" t="n">
        <v>100</v>
      </c>
      <c r="H98" s="1" t="n">
        <v>1.5</v>
      </c>
      <c r="I98" s="1" t="n">
        <v>1.5</v>
      </c>
      <c r="J98" s="1" t="n">
        <v>100</v>
      </c>
      <c r="K98" s="1" t="n">
        <v>1.02037234611357</v>
      </c>
      <c r="M98" s="1" t="n">
        <v>0.015</v>
      </c>
      <c r="N98" s="1" t="s">
        <v>173</v>
      </c>
      <c r="P98" s="1" t="n">
        <v>68.3175885607739</v>
      </c>
      <c r="Q98" s="1" t="n">
        <v>0.0599087560614094</v>
      </c>
      <c r="R98" s="1" t="n">
        <v>2.59775329184786</v>
      </c>
      <c r="S98" s="1" t="n">
        <v>39.88</v>
      </c>
      <c r="T98" s="1" t="n">
        <v>22.98</v>
      </c>
      <c r="U98" s="1" t="s">
        <v>182</v>
      </c>
      <c r="V98" s="1" t="s">
        <v>173</v>
      </c>
      <c r="W98" s="1" t="s">
        <v>173</v>
      </c>
      <c r="X98" s="1" t="s">
        <v>173</v>
      </c>
      <c r="Y98" s="1" t="s">
        <v>173</v>
      </c>
      <c r="Z98" s="1" t="n">
        <v>0</v>
      </c>
      <c r="AA98" s="1" t="n">
        <v>344</v>
      </c>
      <c r="AB98" s="1" t="s">
        <v>173</v>
      </c>
      <c r="AC98" s="1" t="n">
        <v>2.3114224137931</v>
      </c>
      <c r="AD98" s="1" t="n">
        <v>0.674931129476584</v>
      </c>
      <c r="AE98" s="1" t="n">
        <v>1.18066275907129</v>
      </c>
      <c r="AF98" s="1" t="s">
        <v>173</v>
      </c>
      <c r="AG98" s="1" t="s">
        <v>173</v>
      </c>
      <c r="AH98" s="1" t="s">
        <v>173</v>
      </c>
      <c r="AI98" s="1" t="s">
        <v>173</v>
      </c>
      <c r="AJ98" s="1" t="s">
        <v>173</v>
      </c>
      <c r="AK98" s="1" t="s">
        <v>173</v>
      </c>
      <c r="AL98" s="1" t="s">
        <v>173</v>
      </c>
      <c r="AM98" s="1" t="s">
        <v>173</v>
      </c>
      <c r="AN98" s="1" t="n">
        <v>0.0833520660442244</v>
      </c>
      <c r="AO98" s="1" t="n">
        <v>0.00535028189047244</v>
      </c>
      <c r="AP98" s="1" t="n">
        <v>0.0944200692295921</v>
      </c>
      <c r="AQ98" s="1" t="n">
        <v>11.0586073552551</v>
      </c>
      <c r="AR98" s="1" t="n">
        <v>13.134877876606</v>
      </c>
      <c r="AS98" s="1" t="n">
        <v>0.0465174129353234</v>
      </c>
      <c r="AT98" s="1" t="n">
        <v>0.0527363184079602</v>
      </c>
      <c r="AU98" s="1" t="n">
        <v>0.644278606965174</v>
      </c>
      <c r="AV98" s="1" t="n">
        <v>0.184825870646766</v>
      </c>
      <c r="AW98" s="1" t="n">
        <v>0.0763681592039801</v>
      </c>
      <c r="AX98" s="1" t="n">
        <v>2.22661691542289</v>
      </c>
      <c r="AY98" s="1" t="n">
        <v>0.125547263681592</v>
      </c>
      <c r="AZ98" s="1" t="n">
        <v>0.282089552238806</v>
      </c>
      <c r="BA98" s="1" t="n">
        <v>2.61691542288557</v>
      </c>
      <c r="BB98" s="1" t="n">
        <v>2.99004975124378</v>
      </c>
      <c r="BC98" s="1" t="n">
        <v>0.836567164179104</v>
      </c>
      <c r="BD98" s="1" t="n">
        <v>2.42562189054726</v>
      </c>
      <c r="BE98" s="1" t="n">
        <v>0.618159203980099</v>
      </c>
      <c r="BF98" s="1" t="n">
        <v>3.23134328358209</v>
      </c>
      <c r="BG98" s="1" t="n">
        <v>9.89495024875622</v>
      </c>
      <c r="BH98" s="1" t="n">
        <v>2.58706467661692</v>
      </c>
      <c r="BI98" s="1" t="n">
        <v>10.5392288557214</v>
      </c>
      <c r="BJ98" s="1" t="n">
        <v>3.45598455598456</v>
      </c>
      <c r="BK98" s="1" t="n">
        <v>13.1262935323383</v>
      </c>
    </row>
    <row r="99" customFormat="false" ht="12.8" hidden="false" customHeight="false" outlineLevel="0" collapsed="false">
      <c r="A99" s="1" t="s">
        <v>313</v>
      </c>
      <c r="B99" s="6" t="n">
        <v>43287</v>
      </c>
      <c r="C99" s="25" t="n">
        <v>7</v>
      </c>
      <c r="D99" s="1" t="s">
        <v>169</v>
      </c>
      <c r="E99" s="1" t="s">
        <v>175</v>
      </c>
      <c r="F99" s="1" t="n">
        <v>16.9</v>
      </c>
      <c r="G99" s="1" t="n">
        <v>50</v>
      </c>
      <c r="H99" s="1" t="n">
        <v>0.7</v>
      </c>
      <c r="I99" s="1" t="n">
        <v>1.4</v>
      </c>
      <c r="J99" s="1" t="n">
        <v>50</v>
      </c>
      <c r="K99" s="1" t="n">
        <v>1.03588105516502</v>
      </c>
      <c r="M99" s="1" t="n">
        <v>0.014</v>
      </c>
      <c r="N99" s="1" t="s">
        <v>173</v>
      </c>
      <c r="O99" s="1" t="s">
        <v>171</v>
      </c>
      <c r="P99" s="1" t="n">
        <v>75.5447817100136</v>
      </c>
      <c r="Q99" s="1" t="n">
        <v>0.0798359992460265</v>
      </c>
      <c r="R99" s="1" t="n">
        <v>2.20539688094379</v>
      </c>
      <c r="S99" s="1" t="n">
        <v>32.93</v>
      </c>
      <c r="T99" s="1" t="n">
        <v>23.39</v>
      </c>
      <c r="U99" s="1" t="s">
        <v>173</v>
      </c>
      <c r="V99" s="1" t="s">
        <v>173</v>
      </c>
      <c r="W99" s="1" t="s">
        <v>173</v>
      </c>
      <c r="X99" s="1" t="s">
        <v>173</v>
      </c>
      <c r="Y99" s="1" t="s">
        <v>173</v>
      </c>
      <c r="Z99" s="1" t="n">
        <v>0</v>
      </c>
      <c r="AA99" s="1" t="n">
        <v>257</v>
      </c>
      <c r="AB99" s="1" t="s">
        <v>173</v>
      </c>
      <c r="AC99" s="1" t="n">
        <v>2.32680722891566</v>
      </c>
      <c r="AD99" s="1" t="n">
        <v>1.18916437098255</v>
      </c>
      <c r="AF99" s="1" t="n">
        <v>2</v>
      </c>
      <c r="AG99" s="1" t="n">
        <v>101</v>
      </c>
      <c r="AH99" s="1" t="n">
        <v>91</v>
      </c>
      <c r="AI99" s="1" t="n">
        <v>10</v>
      </c>
      <c r="AJ99" s="1" t="n">
        <v>0</v>
      </c>
      <c r="AK99" s="1" t="n">
        <v>0</v>
      </c>
      <c r="AL99" s="1" t="n">
        <v>0</v>
      </c>
      <c r="AM99" s="1" t="n">
        <v>1.0990099009901</v>
      </c>
      <c r="AN99" s="1" t="n">
        <v>0.0856793557713098</v>
      </c>
      <c r="AO99" s="1" t="n">
        <v>0.00400129591399384</v>
      </c>
      <c r="AP99" s="1" t="n">
        <v>0.0917087691361769</v>
      </c>
      <c r="AQ99" s="1" t="n">
        <v>11.2586073552551</v>
      </c>
      <c r="AR99" s="1" t="n">
        <v>9.75487787660596</v>
      </c>
      <c r="AS99" s="1" t="n">
        <v>0</v>
      </c>
      <c r="AT99" s="1" t="n">
        <v>0.100451467268623</v>
      </c>
      <c r="AU99" s="1" t="n">
        <v>0.692099322799097</v>
      </c>
      <c r="AV99" s="1" t="n">
        <v>0.00699774266365688</v>
      </c>
      <c r="AW99" s="1" t="n">
        <v>0.164785553047404</v>
      </c>
      <c r="AX99" s="1" t="n">
        <v>12.405963375535</v>
      </c>
      <c r="AY99" s="1" t="n">
        <v>0</v>
      </c>
      <c r="AZ99" s="1" t="n">
        <v>0.234762979683973</v>
      </c>
      <c r="BA99" s="1" t="n">
        <v>6.90970654627539</v>
      </c>
      <c r="BB99" s="1" t="n">
        <v>2.20451467268623</v>
      </c>
      <c r="BC99" s="1" t="n">
        <v>0.911060948081264</v>
      </c>
      <c r="BD99" s="1" t="n">
        <v>0.378781038374718</v>
      </c>
      <c r="BE99" s="1" t="n">
        <v>0.251918735891648</v>
      </c>
      <c r="BF99" s="1" t="n">
        <v>13.3702974613138</v>
      </c>
      <c r="BG99" s="1" t="n">
        <v>10.8907449209932</v>
      </c>
      <c r="BH99" s="1" t="n">
        <v>12.6781981385147</v>
      </c>
      <c r="BI99" s="1" t="n">
        <v>11.5828442437923</v>
      </c>
      <c r="BJ99" s="1" t="n">
        <v>17.9251199457339</v>
      </c>
      <c r="BK99" s="1" t="n">
        <v>24.261042382307</v>
      </c>
    </row>
    <row r="100" customFormat="false" ht="12.8" hidden="false" customHeight="false" outlineLevel="0" collapsed="false">
      <c r="A100" s="1" t="s">
        <v>314</v>
      </c>
      <c r="B100" s="6" t="n">
        <v>43287</v>
      </c>
      <c r="C100" s="25" t="n">
        <v>7</v>
      </c>
      <c r="D100" s="1" t="s">
        <v>169</v>
      </c>
      <c r="E100" s="1" t="s">
        <v>175</v>
      </c>
      <c r="F100" s="1" t="n">
        <v>22.4</v>
      </c>
      <c r="G100" s="1" t="n">
        <v>119</v>
      </c>
      <c r="H100" s="1" t="n">
        <v>1.9</v>
      </c>
      <c r="I100" s="1" t="n">
        <v>1.59663865546219</v>
      </c>
      <c r="J100" s="1" t="n">
        <v>117.8</v>
      </c>
      <c r="K100" s="1" t="n">
        <v>1.04809641490525</v>
      </c>
      <c r="L100" s="1" t="n">
        <v>1.00840336134454</v>
      </c>
      <c r="M100" s="1" t="n">
        <v>0.0161290322580645</v>
      </c>
      <c r="N100" s="1" t="n">
        <v>1.2</v>
      </c>
      <c r="O100" s="1" t="s">
        <v>171</v>
      </c>
      <c r="P100" s="1" t="n">
        <v>105.745000050907</v>
      </c>
      <c r="Q100" s="1" t="n">
        <v>0.0400720168072289</v>
      </c>
      <c r="R100" s="1" t="n">
        <v>11.0451462252182</v>
      </c>
      <c r="S100" s="1" t="n">
        <v>56.2</v>
      </c>
      <c r="T100" s="1" t="s">
        <v>173</v>
      </c>
      <c r="U100" s="1" t="s">
        <v>182</v>
      </c>
      <c r="V100" s="1" t="s">
        <v>173</v>
      </c>
      <c r="W100" s="1" t="s">
        <v>173</v>
      </c>
      <c r="X100" s="1" t="s">
        <v>173</v>
      </c>
      <c r="Y100" s="1" t="s">
        <v>173</v>
      </c>
      <c r="Z100" s="1" t="n">
        <v>1</v>
      </c>
      <c r="AA100" s="1" t="s">
        <v>173</v>
      </c>
      <c r="AB100" s="1" t="n">
        <v>112</v>
      </c>
      <c r="AC100" s="1" t="n">
        <v>1.34057971014493</v>
      </c>
      <c r="AD100" s="1" t="n">
        <v>0.658861340679523</v>
      </c>
      <c r="AF100" s="1" t="n">
        <v>2</v>
      </c>
      <c r="AG100" s="1" t="n">
        <v>119</v>
      </c>
      <c r="AH100" s="1" t="n">
        <v>91</v>
      </c>
      <c r="AI100" s="1" t="n">
        <v>28</v>
      </c>
      <c r="AJ100" s="1" t="n">
        <v>0</v>
      </c>
      <c r="AK100" s="1" t="n">
        <v>0</v>
      </c>
      <c r="AL100" s="1" t="n">
        <v>0</v>
      </c>
      <c r="AM100" s="1" t="n">
        <v>1.23529411764706</v>
      </c>
      <c r="AN100" s="1" t="n">
        <v>0.0802038543326668</v>
      </c>
      <c r="AO100" s="1" t="n">
        <v>0.00251700484225918</v>
      </c>
      <c r="AP100" s="1" t="n">
        <v>0.105109483441318</v>
      </c>
      <c r="AQ100" s="1" t="n">
        <v>8.21860735525508</v>
      </c>
      <c r="AR100" s="1" t="n">
        <v>7.97487787660596</v>
      </c>
      <c r="AS100" s="1" t="n">
        <v>0</v>
      </c>
      <c r="AT100" s="1" t="n">
        <v>0</v>
      </c>
      <c r="AU100" s="1" t="n">
        <v>0.623225806451613</v>
      </c>
      <c r="AV100" s="1" t="n">
        <v>0</v>
      </c>
      <c r="AW100" s="1" t="n">
        <v>0.0730929791271347</v>
      </c>
      <c r="AX100" s="1" t="n">
        <v>4.61555977229602</v>
      </c>
      <c r="AY100" s="1" t="n">
        <v>0</v>
      </c>
      <c r="AZ100" s="1" t="n">
        <v>0.173487666034156</v>
      </c>
      <c r="BA100" s="1" t="n">
        <v>6.13662239089184</v>
      </c>
      <c r="BB100" s="1" t="n">
        <v>2.44781783681214</v>
      </c>
      <c r="BC100" s="1" t="n">
        <v>0.718178368121442</v>
      </c>
      <c r="BD100" s="1" t="n">
        <v>2.29525616698292</v>
      </c>
      <c r="BE100" s="1" t="n">
        <v>0.281897533206831</v>
      </c>
      <c r="BF100" s="1" t="n">
        <v>5.31187855787476</v>
      </c>
      <c r="BG100" s="1" t="n">
        <v>12.0532599620493</v>
      </c>
      <c r="BH100" s="1" t="n">
        <v>4.68865275142315</v>
      </c>
      <c r="BI100" s="1" t="n">
        <v>12.6764857685009</v>
      </c>
      <c r="BJ100" s="1" t="n">
        <v>7.40591888929485</v>
      </c>
      <c r="BK100" s="1" t="n">
        <v>17.3651385199241</v>
      </c>
    </row>
    <row r="101" customFormat="false" ht="12.8" hidden="false" customHeight="false" outlineLevel="0" collapsed="false">
      <c r="A101" s="1" t="s">
        <v>315</v>
      </c>
      <c r="B101" s="6" t="n">
        <v>43287</v>
      </c>
      <c r="C101" s="25" t="n">
        <v>7</v>
      </c>
      <c r="D101" s="1" t="s">
        <v>169</v>
      </c>
      <c r="E101" s="1" t="s">
        <v>175</v>
      </c>
      <c r="F101" s="1" t="n">
        <v>19.4</v>
      </c>
      <c r="G101" s="1" t="n">
        <v>77</v>
      </c>
      <c r="H101" s="1" t="n">
        <v>1.4</v>
      </c>
      <c r="I101" s="1" t="n">
        <v>1.81818181818182</v>
      </c>
      <c r="J101" s="1" t="n">
        <v>76.6</v>
      </c>
      <c r="K101" s="1" t="n">
        <v>1.04911616756494</v>
      </c>
      <c r="L101" s="1" t="n">
        <v>0.519480519480519</v>
      </c>
      <c r="M101" s="1" t="n">
        <v>0.0182767624020888</v>
      </c>
      <c r="N101" s="1" t="n">
        <v>0.4</v>
      </c>
      <c r="P101" s="1" t="n">
        <v>81.4146161613965</v>
      </c>
      <c r="Q101" s="1" t="n">
        <v>0.0893467539932824</v>
      </c>
      <c r="R101" s="1" t="n">
        <v>2.6776112061135</v>
      </c>
      <c r="S101" s="1" t="n">
        <v>52.01</v>
      </c>
      <c r="T101" s="1" t="s">
        <v>173</v>
      </c>
      <c r="U101" s="1" t="s">
        <v>173</v>
      </c>
      <c r="V101" s="1" t="s">
        <v>173</v>
      </c>
      <c r="W101" s="1" t="s">
        <v>173</v>
      </c>
      <c r="X101" s="1" t="s">
        <v>173</v>
      </c>
      <c r="Y101" s="1" t="s">
        <v>173</v>
      </c>
      <c r="Z101" s="1" t="n">
        <v>0</v>
      </c>
      <c r="AA101" s="1" t="s">
        <v>173</v>
      </c>
      <c r="AB101" s="1" t="n">
        <v>126</v>
      </c>
      <c r="AC101" s="1" t="n">
        <v>1.61570827489481</v>
      </c>
      <c r="AD101" s="1" t="n">
        <v>1.01641414141414</v>
      </c>
      <c r="AE101" s="1" t="n">
        <v>1.07526711331046</v>
      </c>
      <c r="AF101" s="1" t="n">
        <v>2</v>
      </c>
      <c r="AG101" s="1" t="n">
        <v>119</v>
      </c>
      <c r="AH101" s="1" t="n">
        <v>85</v>
      </c>
      <c r="AI101" s="1" t="n">
        <v>34</v>
      </c>
      <c r="AJ101" s="1" t="n">
        <v>0</v>
      </c>
      <c r="AK101" s="1" t="n">
        <v>0</v>
      </c>
      <c r="AL101" s="1" t="n">
        <v>0</v>
      </c>
      <c r="AM101" s="1" t="n">
        <v>1.28571428571429</v>
      </c>
      <c r="AN101" s="1" t="n">
        <v>0.149052587109979</v>
      </c>
      <c r="AO101" s="1" t="n">
        <v>0.00203108171305132</v>
      </c>
      <c r="AP101" s="1" t="n">
        <v>0.101978074210129</v>
      </c>
      <c r="AQ101" s="1" t="n">
        <v>10.4986073552551</v>
      </c>
      <c r="AR101" s="1" t="n">
        <v>13.194877876606</v>
      </c>
      <c r="AS101" s="1" t="n">
        <v>0.0259318001586043</v>
      </c>
      <c r="AT101" s="1" t="n">
        <v>0.0283108643933386</v>
      </c>
      <c r="AU101" s="1" t="n">
        <v>0.674226804123711</v>
      </c>
      <c r="AV101" s="1" t="n">
        <v>0.0423473433782712</v>
      </c>
      <c r="AW101" s="1" t="n">
        <v>0.110626486915147</v>
      </c>
      <c r="AX101" s="1" t="n">
        <v>1.02133227597145</v>
      </c>
      <c r="AY101" s="1" t="n">
        <v>0</v>
      </c>
      <c r="AZ101" s="1" t="n">
        <v>0.241712926249009</v>
      </c>
      <c r="BA101" s="1" t="n">
        <v>9.03092783505155</v>
      </c>
      <c r="BB101" s="1" t="n">
        <v>2.2360824742268</v>
      </c>
      <c r="BC101" s="1" t="n">
        <v>0.924504361617764</v>
      </c>
      <c r="BD101" s="1" t="n">
        <v>0.367565424266455</v>
      </c>
      <c r="BE101" s="1" t="n">
        <v>0.356859635210151</v>
      </c>
      <c r="BF101" s="1" t="n">
        <v>1.90277557494052</v>
      </c>
      <c r="BG101" s="1" t="n">
        <v>13.1576526566217</v>
      </c>
      <c r="BH101" s="1" t="n">
        <v>1.22854877081681</v>
      </c>
      <c r="BI101" s="1" t="n">
        <v>13.8318794607454</v>
      </c>
      <c r="BJ101" s="1" t="n">
        <v>1.51482004234298</v>
      </c>
      <c r="BK101" s="1" t="n">
        <v>15.0604282315623</v>
      </c>
    </row>
    <row r="102" customFormat="false" ht="12.8" hidden="false" customHeight="false" outlineLevel="0" collapsed="false">
      <c r="A102" s="1" t="s">
        <v>316</v>
      </c>
      <c r="B102" s="6" t="n">
        <v>43287</v>
      </c>
      <c r="C102" s="25" t="n">
        <v>7</v>
      </c>
      <c r="D102" s="1" t="s">
        <v>169</v>
      </c>
      <c r="E102" s="1" t="s">
        <v>175</v>
      </c>
      <c r="F102" s="1" t="n">
        <v>21.1</v>
      </c>
      <c r="G102" s="1" t="n">
        <v>100</v>
      </c>
      <c r="H102" s="1" t="n">
        <v>1.1</v>
      </c>
      <c r="I102" s="1" t="n">
        <v>1.1</v>
      </c>
      <c r="J102" s="1" t="n">
        <v>99</v>
      </c>
      <c r="K102" s="1" t="n">
        <v>1.05387190942748</v>
      </c>
      <c r="L102" s="1" t="n">
        <v>1</v>
      </c>
      <c r="M102" s="1" t="n">
        <v>0.0111111111111111</v>
      </c>
      <c r="N102" s="1" t="n">
        <v>1</v>
      </c>
      <c r="P102" s="1" t="n">
        <v>44.5779697062262</v>
      </c>
      <c r="Q102" s="1" t="n">
        <v>0.0655072633820345</v>
      </c>
      <c r="R102" s="1" t="n">
        <v>1.28561010170823</v>
      </c>
      <c r="S102" s="1" t="n">
        <v>60.96</v>
      </c>
      <c r="T102" s="1" t="s">
        <v>173</v>
      </c>
      <c r="U102" s="1" t="s">
        <v>173</v>
      </c>
      <c r="V102" s="1" t="s">
        <v>173</v>
      </c>
      <c r="W102" s="1" t="s">
        <v>173</v>
      </c>
      <c r="X102" s="1" t="s">
        <v>173</v>
      </c>
      <c r="Y102" s="1" t="s">
        <v>173</v>
      </c>
      <c r="Z102" s="1" t="n">
        <v>0</v>
      </c>
      <c r="AA102" s="1" t="s">
        <v>173</v>
      </c>
      <c r="AB102" s="1" t="n">
        <v>39</v>
      </c>
      <c r="AC102" s="1" t="n">
        <v>1.72661870503597</v>
      </c>
      <c r="AD102" s="1" t="n">
        <v>0.614669421487604</v>
      </c>
      <c r="AE102" s="1" t="n">
        <v>0.596346189225132</v>
      </c>
      <c r="AF102" s="1" t="n">
        <v>2</v>
      </c>
      <c r="AG102" s="1" t="n">
        <v>110</v>
      </c>
      <c r="AH102" s="1" t="n">
        <v>64</v>
      </c>
      <c r="AI102" s="1" t="n">
        <v>46</v>
      </c>
      <c r="AJ102" s="1" t="n">
        <v>0</v>
      </c>
      <c r="AK102" s="1" t="n">
        <v>0</v>
      </c>
      <c r="AL102" s="1" t="n">
        <v>0</v>
      </c>
      <c r="AM102" s="1" t="n">
        <v>1.41818181818182</v>
      </c>
      <c r="AN102" s="1" t="n">
        <v>0.0175879665299864</v>
      </c>
      <c r="AO102" s="1" t="n">
        <v>0.000880596268492077</v>
      </c>
      <c r="AP102" s="1" t="n">
        <v>0.0573143250127628</v>
      </c>
      <c r="AQ102" s="1" t="n">
        <v>11.5786073552551</v>
      </c>
      <c r="AR102" s="1" t="n">
        <v>8.89487787660596</v>
      </c>
      <c r="AS102" s="1" t="n">
        <v>0.0397845006216328</v>
      </c>
      <c r="AT102" s="1" t="n">
        <v>0.230004144218815</v>
      </c>
      <c r="AU102" s="1" t="n">
        <v>0.517695814338997</v>
      </c>
      <c r="AV102" s="1" t="n">
        <v>0.140986324077911</v>
      </c>
      <c r="AW102" s="1" t="n">
        <v>0.00646498135101533</v>
      </c>
      <c r="AX102" s="1" t="n">
        <v>2.51885619560713</v>
      </c>
      <c r="AY102" s="1" t="n">
        <v>0.091529216742644</v>
      </c>
      <c r="AZ102" s="1" t="n">
        <v>0.268048072938251</v>
      </c>
      <c r="BA102" s="1" t="n">
        <v>1.61549937836718</v>
      </c>
      <c r="BB102" s="1" t="n">
        <v>2.0571073352673</v>
      </c>
      <c r="BC102" s="1" t="n">
        <v>0.552009946125155</v>
      </c>
      <c r="BD102" s="1" t="n">
        <v>1.61748860339826</v>
      </c>
      <c r="BE102" s="1" t="n">
        <v>0.398093659345213</v>
      </c>
      <c r="BF102" s="1" t="n">
        <v>3.4537919602155</v>
      </c>
      <c r="BG102" s="1" t="n">
        <v>6.599776212184</v>
      </c>
      <c r="BH102" s="1" t="n">
        <v>2.9360961458765</v>
      </c>
      <c r="BI102" s="1" t="n">
        <v>7.117472026523</v>
      </c>
      <c r="BJ102" s="1" t="n">
        <v>4.86551392891451</v>
      </c>
      <c r="BK102" s="1" t="n">
        <v>10.0535681723995</v>
      </c>
    </row>
    <row r="103" customFormat="false" ht="12.8" hidden="false" customHeight="false" outlineLevel="0" collapsed="false">
      <c r="A103" s="1" t="s">
        <v>317</v>
      </c>
      <c r="B103" s="6" t="n">
        <v>43287</v>
      </c>
      <c r="C103" s="25" t="n">
        <v>7</v>
      </c>
      <c r="D103" s="1" t="s">
        <v>169</v>
      </c>
      <c r="E103" s="1" t="s">
        <v>175</v>
      </c>
      <c r="F103" s="1" t="n">
        <v>29</v>
      </c>
      <c r="G103" s="1" t="n">
        <v>269</v>
      </c>
      <c r="H103" s="1" t="n">
        <v>5.2</v>
      </c>
      <c r="I103" s="1" t="n">
        <v>1.93308550185874</v>
      </c>
      <c r="J103" s="1" t="n">
        <v>265</v>
      </c>
      <c r="K103" s="1" t="n">
        <v>1.08655541432613</v>
      </c>
      <c r="L103" s="1" t="n">
        <v>1.48698884758364</v>
      </c>
      <c r="M103" s="1" t="n">
        <v>0.019622641509434</v>
      </c>
      <c r="N103" s="1" t="n">
        <v>4</v>
      </c>
      <c r="O103" s="1" t="s">
        <v>273</v>
      </c>
      <c r="P103" s="1" t="n">
        <v>102.322054956016</v>
      </c>
      <c r="Q103" s="1" t="n">
        <v>0.0445589117413195</v>
      </c>
      <c r="R103" s="1" t="n">
        <v>2.03797066326738</v>
      </c>
      <c r="S103" s="1" t="n">
        <v>49.58</v>
      </c>
      <c r="T103" s="1" t="s">
        <v>173</v>
      </c>
      <c r="U103" s="1" t="s">
        <v>182</v>
      </c>
      <c r="V103" s="1" t="s">
        <v>173</v>
      </c>
      <c r="W103" s="1" t="s">
        <v>173</v>
      </c>
      <c r="X103" s="1" t="s">
        <v>173</v>
      </c>
      <c r="Y103" s="1" t="s">
        <v>173</v>
      </c>
      <c r="Z103" s="1" t="n">
        <v>0</v>
      </c>
      <c r="AA103" s="1" t="s">
        <v>173</v>
      </c>
      <c r="AB103" s="1" t="n">
        <v>70</v>
      </c>
      <c r="AC103" s="1" t="n">
        <v>2.34352603917821</v>
      </c>
      <c r="AD103" s="1" t="n">
        <v>0.980257116620753</v>
      </c>
      <c r="AE103" s="1" t="n">
        <v>0.0765475517846389</v>
      </c>
      <c r="AF103" s="1" t="n">
        <v>2</v>
      </c>
      <c r="AG103" s="1" t="n">
        <v>101</v>
      </c>
      <c r="AH103" s="1" t="n">
        <v>56</v>
      </c>
      <c r="AI103" s="1" t="n">
        <v>45</v>
      </c>
      <c r="AJ103" s="1" t="n">
        <v>0</v>
      </c>
      <c r="AK103" s="1" t="n">
        <v>0</v>
      </c>
      <c r="AL103" s="1" t="n">
        <v>0</v>
      </c>
      <c r="AM103" s="1" t="n">
        <v>1.44554455445545</v>
      </c>
      <c r="AN103" s="1" t="n">
        <v>0.068405264328893</v>
      </c>
      <c r="AO103" s="1" t="n">
        <v>0.00343835095909701</v>
      </c>
      <c r="AP103" s="1" t="n">
        <v>0.118629706876055</v>
      </c>
      <c r="AQ103" s="1" t="n">
        <v>16.1386073552551</v>
      </c>
      <c r="AR103" s="1" t="n">
        <v>8.59487787660596</v>
      </c>
      <c r="AS103" s="1" t="n">
        <v>0.018047200370199</v>
      </c>
      <c r="AT103" s="1" t="n">
        <v>0.0155483572420176</v>
      </c>
      <c r="AU103" s="1" t="n">
        <v>0.423415085608515</v>
      </c>
      <c r="AV103" s="1" t="n">
        <v>0.300694123091162</v>
      </c>
      <c r="AW103" s="1" t="n">
        <v>0.0338732068486812</v>
      </c>
      <c r="AX103" s="1" t="n">
        <v>1.4870893105044</v>
      </c>
      <c r="AY103" s="1" t="n">
        <v>0.225284590467376</v>
      </c>
      <c r="AZ103" s="1" t="n">
        <v>0.23733456732994</v>
      </c>
      <c r="BA103" s="1" t="n">
        <v>2.02739472466451</v>
      </c>
      <c r="BB103" s="1" t="n">
        <v>2.21397501156872</v>
      </c>
      <c r="BC103" s="1" t="n">
        <v>0.653308653401203</v>
      </c>
      <c r="BD103" s="1" t="n">
        <v>1.87107820453494</v>
      </c>
      <c r="BE103" s="1" t="n">
        <v>0.410643220731143</v>
      </c>
      <c r="BF103" s="1" t="n">
        <v>2.27866728366497</v>
      </c>
      <c r="BG103" s="1" t="n">
        <v>7.63901897269783</v>
      </c>
      <c r="BH103" s="1" t="n">
        <v>1.85525219805646</v>
      </c>
      <c r="BI103" s="1" t="n">
        <v>8.06243405830634</v>
      </c>
      <c r="BJ103" s="1" t="n">
        <v>3.51213114754098</v>
      </c>
      <c r="BK103" s="1" t="n">
        <v>9.9176862563628</v>
      </c>
      <c r="BL103" s="7" t="s">
        <v>224</v>
      </c>
      <c r="BM103" s="7" t="s">
        <v>224</v>
      </c>
      <c r="BN103" s="7" t="s">
        <v>223</v>
      </c>
      <c r="BO103" s="7" t="s">
        <v>223</v>
      </c>
      <c r="BP103" s="7" t="s">
        <v>223</v>
      </c>
      <c r="BQ103" s="7" t="s">
        <v>223</v>
      </c>
      <c r="BR103" s="7" t="s">
        <v>223</v>
      </c>
      <c r="BS103" s="7" t="s">
        <v>223</v>
      </c>
      <c r="BT103" s="7" t="s">
        <v>224</v>
      </c>
      <c r="BU103" s="7" t="s">
        <v>224</v>
      </c>
      <c r="BV103" s="7" t="s">
        <v>223</v>
      </c>
      <c r="BW103" s="7" t="n">
        <v>3.71686077986782</v>
      </c>
      <c r="BX103" s="7" t="s">
        <v>223</v>
      </c>
      <c r="BY103" s="7" t="n">
        <v>24.7307498342129</v>
      </c>
      <c r="BZ103" s="7" t="s">
        <v>223</v>
      </c>
      <c r="CA103" s="7" t="s">
        <v>224</v>
      </c>
      <c r="CB103" s="7" t="s">
        <v>223</v>
      </c>
      <c r="CC103" s="7" t="s">
        <v>224</v>
      </c>
      <c r="CD103" s="7" t="s">
        <v>223</v>
      </c>
      <c r="CE103" s="7" t="n">
        <v>8.85627416487643</v>
      </c>
      <c r="CF103" s="7" t="s">
        <v>223</v>
      </c>
      <c r="CG103" s="7" t="s">
        <v>223</v>
      </c>
      <c r="CH103" s="7" t="s">
        <v>223</v>
      </c>
      <c r="CI103" s="7" t="s">
        <v>223</v>
      </c>
      <c r="CJ103" s="10" t="n">
        <f aca="false">SUM(BL103:CI103)</f>
        <v>37.3038847789572</v>
      </c>
      <c r="CK103" s="7" t="s">
        <v>223</v>
      </c>
      <c r="CL103" s="7" t="s">
        <v>224</v>
      </c>
      <c r="CM103" s="7" t="s">
        <v>223</v>
      </c>
      <c r="CN103" s="7" t="n">
        <v>3.07674387514279</v>
      </c>
      <c r="CO103" s="7" t="n">
        <v>3.2153035062152</v>
      </c>
      <c r="CP103" s="7" t="s">
        <v>223</v>
      </c>
      <c r="CQ103" s="7" t="n">
        <v>3.4374648405598</v>
      </c>
      <c r="CR103" s="7" t="n">
        <v>14.2554405304128</v>
      </c>
      <c r="CS103" s="7" t="n">
        <v>22.8707045918725</v>
      </c>
      <c r="CT103" s="7" t="s">
        <v>224</v>
      </c>
      <c r="CU103" s="7" t="n">
        <v>40.9037878878128</v>
      </c>
      <c r="CV103" s="7" t="n">
        <v>16.0907070538606</v>
      </c>
      <c r="CW103" s="7" t="n">
        <v>29.7055541657236</v>
      </c>
      <c r="CX103" s="7" t="n">
        <v>53.4887827321979</v>
      </c>
      <c r="CY103" s="7" t="n">
        <v>13.6806589656738</v>
      </c>
      <c r="CZ103" s="7" t="s">
        <v>224</v>
      </c>
      <c r="DA103" s="7" t="n">
        <v>9.5864521824995</v>
      </c>
      <c r="DB103" s="7" t="n">
        <v>120.328318025327</v>
      </c>
      <c r="DC103" s="7" t="n">
        <v>35.4776720181817</v>
      </c>
      <c r="DD103" s="7" t="n">
        <v>137.100439848733</v>
      </c>
      <c r="DE103" s="7" t="s">
        <v>224</v>
      </c>
      <c r="DF103" s="7" t="s">
        <v>223</v>
      </c>
      <c r="DG103" s="7" t="n">
        <v>17.6270405711812</v>
      </c>
      <c r="DH103" s="7" t="n">
        <v>61.4096602588794</v>
      </c>
      <c r="DI103" s="7" t="n">
        <v>59.4049665977045</v>
      </c>
      <c r="DJ103" s="7" t="n">
        <v>12.917442656194</v>
      </c>
      <c r="DK103" s="10" t="n">
        <f aca="false">SUM(CK103:DJ103)</f>
        <v>654.577140308172</v>
      </c>
      <c r="DL103" s="7" t="s">
        <v>223</v>
      </c>
      <c r="DM103" s="7" t="s">
        <v>223</v>
      </c>
      <c r="DN103" s="7" t="s">
        <v>223</v>
      </c>
      <c r="DO103" s="7" t="s">
        <v>223</v>
      </c>
      <c r="DP103" s="7" t="s">
        <v>223</v>
      </c>
      <c r="DQ103" s="7" t="s">
        <v>223</v>
      </c>
      <c r="DR103" s="7" t="s">
        <v>223</v>
      </c>
      <c r="DS103" s="7" t="s">
        <v>223</v>
      </c>
      <c r="DT103" s="7" t="s">
        <v>223</v>
      </c>
      <c r="DU103" s="7" t="s">
        <v>223</v>
      </c>
      <c r="DV103" s="7" t="s">
        <v>223</v>
      </c>
      <c r="DW103" s="7" t="n">
        <v>17.0340455891365</v>
      </c>
      <c r="DX103" s="7" t="s">
        <v>224</v>
      </c>
      <c r="DY103" s="7" t="n">
        <v>7.45696484519257</v>
      </c>
      <c r="DZ103" s="7" t="s">
        <v>224</v>
      </c>
      <c r="EA103" s="7" t="s">
        <v>224</v>
      </c>
      <c r="EB103" s="7" t="s">
        <v>223</v>
      </c>
      <c r="EC103" s="7" t="s">
        <v>223</v>
      </c>
      <c r="ED103" s="7" t="s">
        <v>223</v>
      </c>
      <c r="EE103" s="7" t="s">
        <v>223</v>
      </c>
      <c r="EF103" s="7" t="s">
        <v>223</v>
      </c>
      <c r="EG103" s="7" t="s">
        <v>223</v>
      </c>
      <c r="EH103" s="7" t="s">
        <v>223</v>
      </c>
      <c r="EI103" s="7" t="s">
        <v>224</v>
      </c>
      <c r="EJ103" s="7" t="s">
        <v>223</v>
      </c>
      <c r="EK103" s="7" t="s">
        <v>223</v>
      </c>
      <c r="EL103" s="7" t="s">
        <v>223</v>
      </c>
      <c r="EM103" s="10" t="n">
        <f aca="false">SUM(DL103:EL103)</f>
        <v>24.4910104343291</v>
      </c>
      <c r="EN103" s="7" t="s">
        <v>223</v>
      </c>
      <c r="EO103" s="7" t="n">
        <v>6.14236909437224</v>
      </c>
      <c r="EP103" s="7" t="s">
        <v>223</v>
      </c>
      <c r="EQ103" s="7" t="s">
        <v>224</v>
      </c>
      <c r="ER103" s="7" t="s">
        <v>223</v>
      </c>
      <c r="ES103" s="7" t="s">
        <v>223</v>
      </c>
      <c r="ET103" s="7" t="s">
        <v>223</v>
      </c>
      <c r="EU103" s="27" t="n">
        <f aca="false">SUM(EN103:ET103)</f>
        <v>6.14236909437224</v>
      </c>
      <c r="EV103" s="1" t="n">
        <v>1.26467252931323</v>
      </c>
      <c r="EW103" s="1" t="n">
        <v>0.54043149078727</v>
      </c>
      <c r="EX103" s="1" t="n">
        <v>0.0139820938023451</v>
      </c>
      <c r="EY103" s="1" t="s">
        <v>225</v>
      </c>
      <c r="EZ103" s="1" t="s">
        <v>225</v>
      </c>
      <c r="FA103" s="1" t="n">
        <v>29.6718882747069</v>
      </c>
      <c r="FB103" s="1" t="n">
        <v>195.431966834171</v>
      </c>
      <c r="FC103" s="1" t="n">
        <v>0.331485594639866</v>
      </c>
      <c r="FD103" s="1" t="n">
        <v>1.64800184254606</v>
      </c>
      <c r="FE103" s="1" t="n">
        <v>0.191664656616415</v>
      </c>
      <c r="FF103" s="1" t="n">
        <v>0.00785510887772194</v>
      </c>
      <c r="FG103" s="1" t="s">
        <v>225</v>
      </c>
      <c r="FH103" s="1" t="n">
        <v>0.725812060301507</v>
      </c>
      <c r="FI103" s="1" t="n">
        <v>0.00314204355108878</v>
      </c>
      <c r="FJ103" s="1" t="s">
        <v>225</v>
      </c>
      <c r="FK103" s="1" t="n">
        <v>110.467967169179</v>
      </c>
      <c r="FL103" s="1" t="n">
        <v>0.38526167001675</v>
      </c>
    </row>
    <row r="104" customFormat="false" ht="12.8" hidden="false" customHeight="false" outlineLevel="0" collapsed="false">
      <c r="A104" s="1" t="s">
        <v>318</v>
      </c>
      <c r="B104" s="6" t="n">
        <v>43287</v>
      </c>
      <c r="C104" s="25" t="n">
        <v>7</v>
      </c>
      <c r="D104" s="1" t="s">
        <v>169</v>
      </c>
      <c r="E104" s="1" t="s">
        <v>175</v>
      </c>
      <c r="F104" s="1" t="n">
        <v>20.9</v>
      </c>
      <c r="G104" s="1" t="n">
        <v>101</v>
      </c>
      <c r="H104" s="1" t="n">
        <v>1.1</v>
      </c>
      <c r="I104" s="1" t="n">
        <v>1.08910891089109</v>
      </c>
      <c r="J104" s="1" t="n">
        <v>100.3</v>
      </c>
      <c r="K104" s="1" t="n">
        <v>1.09865686733384</v>
      </c>
      <c r="L104" s="1" t="n">
        <v>0.693069306930693</v>
      </c>
      <c r="M104" s="1" t="n">
        <v>0.0109670987038883</v>
      </c>
      <c r="N104" s="1" t="n">
        <v>0.7</v>
      </c>
      <c r="P104" s="1" t="n">
        <v>69.9652191050415</v>
      </c>
      <c r="Q104" s="1" t="n">
        <v>0.0441169123950811</v>
      </c>
      <c r="R104" s="1" t="n">
        <v>4.01641680917025</v>
      </c>
      <c r="S104" s="1" t="n">
        <v>58.79</v>
      </c>
      <c r="T104" s="1" t="s">
        <v>173</v>
      </c>
      <c r="U104" s="1" t="s">
        <v>173</v>
      </c>
      <c r="V104" s="1" t="s">
        <v>173</v>
      </c>
      <c r="W104" s="1" t="s">
        <v>173</v>
      </c>
      <c r="X104" s="1" t="s">
        <v>173</v>
      </c>
      <c r="Y104" s="1" t="s">
        <v>173</v>
      </c>
      <c r="Z104" s="1" t="n">
        <v>0</v>
      </c>
      <c r="AA104" s="1" t="s">
        <v>173</v>
      </c>
      <c r="AB104" s="1" t="n">
        <v>9</v>
      </c>
      <c r="AC104" s="1" t="n">
        <v>1.48520277676288</v>
      </c>
      <c r="AD104" s="1" t="n">
        <v>1.26704103976831</v>
      </c>
      <c r="AE104" s="1" t="n">
        <v>0.983911617411664</v>
      </c>
      <c r="AF104" s="1" t="n">
        <v>2</v>
      </c>
      <c r="AG104" s="1" t="n">
        <v>124</v>
      </c>
      <c r="AH104" s="1" t="n">
        <v>82</v>
      </c>
      <c r="AI104" s="1" t="n">
        <v>42</v>
      </c>
      <c r="AJ104" s="1" t="n">
        <v>0</v>
      </c>
      <c r="AK104" s="1" t="n">
        <v>0</v>
      </c>
      <c r="AL104" s="1" t="n">
        <v>0</v>
      </c>
      <c r="AM104" s="1" t="n">
        <v>1.33870967741935</v>
      </c>
      <c r="AN104" s="1" t="n">
        <v>0.346454869679093</v>
      </c>
      <c r="AO104" s="1" t="n">
        <v>0.00253737570344166</v>
      </c>
      <c r="AP104" s="1" t="n">
        <v>0.0871101846438777</v>
      </c>
      <c r="AQ104" s="1" t="n">
        <v>4.57860735525508</v>
      </c>
      <c r="AR104" s="1" t="n">
        <v>8.83487787660596</v>
      </c>
      <c r="AS104" s="1" t="n">
        <v>0.00658536585365854</v>
      </c>
      <c r="AT104" s="1" t="n">
        <v>0</v>
      </c>
      <c r="AU104" s="1" t="n">
        <v>0.51</v>
      </c>
      <c r="AV104" s="1" t="n">
        <v>0</v>
      </c>
      <c r="AW104" s="1" t="n">
        <v>0.0921951219512195</v>
      </c>
      <c r="AX104" s="1" t="n">
        <v>1.63731707317073</v>
      </c>
      <c r="AY104" s="1" t="n">
        <v>0</v>
      </c>
      <c r="AZ104" s="1" t="n">
        <v>0.631463414634146</v>
      </c>
      <c r="BA104" s="1" t="n">
        <v>7.98048780487805</v>
      </c>
      <c r="BB104" s="1" t="n">
        <v>1.91829268292683</v>
      </c>
      <c r="BC104" s="1" t="n">
        <v>0.650731707317073</v>
      </c>
      <c r="BD104" s="1" t="n">
        <v>0.233</v>
      </c>
      <c r="BE104" s="1" t="n">
        <v>0.905121951219512</v>
      </c>
      <c r="BF104" s="1" t="n">
        <v>2.24609756097561</v>
      </c>
      <c r="BG104" s="1" t="n">
        <v>12.3190975609756</v>
      </c>
      <c r="BH104" s="1" t="n">
        <v>1.73609756097561</v>
      </c>
      <c r="BI104" s="1" t="n">
        <v>12.8290975609756</v>
      </c>
      <c r="BJ104" s="1" t="n">
        <v>3.2104256336681</v>
      </c>
      <c r="BK104" s="1" t="n">
        <v>14.5651951219512</v>
      </c>
    </row>
    <row r="105" customFormat="false" ht="12.8" hidden="false" customHeight="false" outlineLevel="0" collapsed="false">
      <c r="A105" s="1" t="s">
        <v>319</v>
      </c>
      <c r="B105" s="6" t="n">
        <v>43287</v>
      </c>
      <c r="C105" s="25" t="n">
        <v>7</v>
      </c>
      <c r="D105" s="1" t="s">
        <v>169</v>
      </c>
      <c r="E105" s="1" t="s">
        <v>170</v>
      </c>
      <c r="F105" s="1" t="n">
        <v>21.6</v>
      </c>
      <c r="G105" s="1" t="n">
        <v>112</v>
      </c>
      <c r="H105" s="1" t="n">
        <v>1.7</v>
      </c>
      <c r="I105" s="1" t="n">
        <v>1.51785714285714</v>
      </c>
      <c r="J105" s="1" t="n">
        <v>112</v>
      </c>
      <c r="K105" s="1" t="n">
        <v>1.11136513742824</v>
      </c>
      <c r="M105" s="1" t="n">
        <v>0.0151785714285714</v>
      </c>
      <c r="N105" s="1" t="s">
        <v>173</v>
      </c>
      <c r="O105" s="1" t="s">
        <v>320</v>
      </c>
      <c r="P105" s="1" t="n">
        <v>58.0792113619812</v>
      </c>
      <c r="Q105" s="1" t="n">
        <v>0.0506194847213133</v>
      </c>
      <c r="R105" s="1" t="n">
        <v>2.59171485165321</v>
      </c>
      <c r="S105" s="1" t="n">
        <v>52.06</v>
      </c>
      <c r="T105" s="1" t="n">
        <v>23.8</v>
      </c>
      <c r="U105" s="1" t="s">
        <v>173</v>
      </c>
      <c r="V105" s="1" t="s">
        <v>173</v>
      </c>
      <c r="W105" s="1" t="s">
        <v>173</v>
      </c>
      <c r="X105" s="1" t="s">
        <v>173</v>
      </c>
      <c r="Y105" s="1" t="s">
        <v>173</v>
      </c>
      <c r="Z105" s="1" t="n">
        <v>0</v>
      </c>
      <c r="AA105" s="1" t="n">
        <v>444</v>
      </c>
      <c r="AB105" s="1" t="s">
        <v>173</v>
      </c>
      <c r="AC105" s="1" t="n">
        <v>2.1505016722408</v>
      </c>
      <c r="AD105" s="1" t="n">
        <v>0.911960514233242</v>
      </c>
      <c r="AE105" s="1" t="n">
        <v>1.11634127896671</v>
      </c>
      <c r="AF105" s="1" t="s">
        <v>173</v>
      </c>
      <c r="AG105" s="1" t="s">
        <v>173</v>
      </c>
      <c r="AH105" s="1" t="s">
        <v>173</v>
      </c>
      <c r="AI105" s="1" t="s">
        <v>173</v>
      </c>
      <c r="AJ105" s="1" t="s">
        <v>173</v>
      </c>
      <c r="AK105" s="1" t="s">
        <v>173</v>
      </c>
      <c r="AL105" s="1" t="s">
        <v>173</v>
      </c>
      <c r="AM105" s="1" t="s">
        <v>173</v>
      </c>
      <c r="AN105" s="1" t="n">
        <v>0.0966698248300529</v>
      </c>
      <c r="AO105" s="1" t="n">
        <v>0.001640764932091</v>
      </c>
      <c r="AP105" s="1" t="n">
        <v>0.134082026215394</v>
      </c>
      <c r="AQ105" s="1" t="n">
        <v>9.97860735525508</v>
      </c>
      <c r="AR105" s="1" t="n">
        <v>5.15487787660596</v>
      </c>
      <c r="AS105" s="1" t="n">
        <v>0.077395875454913</v>
      </c>
      <c r="AT105" s="1" t="n">
        <v>0.302790133441165</v>
      </c>
      <c r="AU105" s="1" t="n">
        <v>0.526971289931257</v>
      </c>
      <c r="AV105" s="1" t="n">
        <v>0.140234532955924</v>
      </c>
      <c r="AW105" s="1" t="n">
        <v>0.0327537403962798</v>
      </c>
      <c r="AX105" s="1" t="n">
        <v>2.04820056611403</v>
      </c>
      <c r="AY105" s="1" t="n">
        <v>0.124318641326324</v>
      </c>
      <c r="AZ105" s="1" t="n">
        <v>0.545410432672867</v>
      </c>
      <c r="BA105" s="1" t="n">
        <v>1.82135058633239</v>
      </c>
      <c r="BB105" s="1" t="n">
        <v>2.22749696724626</v>
      </c>
      <c r="BC105" s="1" t="n">
        <v>0.499312575818843</v>
      </c>
      <c r="BD105" s="1" t="n">
        <v>1.65733926405176</v>
      </c>
      <c r="BE105" s="1" t="n">
        <v>0.415851192883138</v>
      </c>
      <c r="BF105" s="1" t="n">
        <v>3.12834613829357</v>
      </c>
      <c r="BG105" s="1" t="n">
        <v>7.29107966033158</v>
      </c>
      <c r="BH105" s="1" t="n">
        <v>2.60137484836231</v>
      </c>
      <c r="BI105" s="1" t="n">
        <v>7.81805095026284</v>
      </c>
      <c r="BJ105" s="1" t="n">
        <v>3.88674033149171</v>
      </c>
      <c r="BK105" s="1" t="n">
        <v>10.4194257986251</v>
      </c>
    </row>
    <row r="106" customFormat="false" ht="12.8" hidden="false" customHeight="false" outlineLevel="0" collapsed="false">
      <c r="A106" s="1" t="s">
        <v>321</v>
      </c>
      <c r="B106" s="6" t="n">
        <v>43287</v>
      </c>
      <c r="C106" s="25" t="n">
        <v>7</v>
      </c>
      <c r="D106" s="1" t="s">
        <v>169</v>
      </c>
      <c r="E106" s="1" t="s">
        <v>175</v>
      </c>
      <c r="F106" s="1" t="n">
        <v>20.3</v>
      </c>
      <c r="G106" s="1" t="n">
        <v>94</v>
      </c>
      <c r="H106" s="1" t="n">
        <v>1.2</v>
      </c>
      <c r="I106" s="1" t="n">
        <v>1.27659574468085</v>
      </c>
      <c r="J106" s="1" t="n">
        <v>93.1</v>
      </c>
      <c r="K106" s="1" t="n">
        <v>1.11291390146612</v>
      </c>
      <c r="L106" s="1" t="n">
        <v>0.957446808510638</v>
      </c>
      <c r="M106" s="1" t="n">
        <v>0.0128893662728249</v>
      </c>
      <c r="N106" s="1" t="n">
        <v>0.9</v>
      </c>
      <c r="O106" s="1" t="s">
        <v>322</v>
      </c>
      <c r="P106" s="1" t="s">
        <v>173</v>
      </c>
      <c r="Q106" s="1" t="n">
        <v>0.0463138374762906</v>
      </c>
      <c r="R106" s="1" t="n">
        <v>2.00576740737522</v>
      </c>
      <c r="S106" s="1" t="n">
        <v>46.94</v>
      </c>
      <c r="T106" s="1" t="s">
        <v>173</v>
      </c>
      <c r="U106" s="1" t="s">
        <v>173</v>
      </c>
      <c r="V106" s="1" t="s">
        <v>173</v>
      </c>
      <c r="W106" s="1" t="s">
        <v>173</v>
      </c>
      <c r="X106" s="1" t="s">
        <v>173</v>
      </c>
      <c r="Y106" s="1" t="s">
        <v>173</v>
      </c>
      <c r="Z106" s="1" t="n">
        <v>0</v>
      </c>
      <c r="AA106" s="1" t="s">
        <v>173</v>
      </c>
      <c r="AB106" s="1" t="n">
        <v>21</v>
      </c>
      <c r="AC106" s="1" t="n">
        <v>1.6206717000781</v>
      </c>
      <c r="AD106" s="1" t="n">
        <v>0.807506887052341</v>
      </c>
      <c r="AE106" s="1" t="n">
        <v>0.600200316996379</v>
      </c>
      <c r="AF106" s="1" t="n">
        <v>2</v>
      </c>
      <c r="AG106" s="1" t="n">
        <v>121</v>
      </c>
      <c r="AH106" s="1" t="n">
        <v>78</v>
      </c>
      <c r="AI106" s="1" t="n">
        <v>43</v>
      </c>
      <c r="AJ106" s="1" t="n">
        <v>0</v>
      </c>
      <c r="AK106" s="1" t="n">
        <v>0</v>
      </c>
      <c r="AL106" s="1" t="n">
        <v>0</v>
      </c>
      <c r="AM106" s="1" t="n">
        <v>1.35537190082645</v>
      </c>
      <c r="AN106" s="1" t="n">
        <v>0.0689112988350931</v>
      </c>
      <c r="AO106" s="1" t="n">
        <v>0.00124666394801081</v>
      </c>
      <c r="AP106" s="1" t="n">
        <v>0.0590229505574782</v>
      </c>
      <c r="AQ106" s="1" t="n">
        <v>10.4986073552551</v>
      </c>
      <c r="AR106" s="1" t="n">
        <v>11.834877876606</v>
      </c>
      <c r="AS106" s="1" t="n">
        <v>0.246772228989038</v>
      </c>
      <c r="AT106" s="1" t="n">
        <v>0.101827040194884</v>
      </c>
      <c r="AU106" s="1" t="n">
        <v>0.743727161997564</v>
      </c>
      <c r="AV106" s="1" t="n">
        <v>0.155420219244823</v>
      </c>
      <c r="AW106" s="1" t="n">
        <v>0.092326431181486</v>
      </c>
      <c r="AX106" s="1" t="n">
        <v>4.15347137637028</v>
      </c>
      <c r="AY106" s="1" t="n">
        <v>0.0940560292326431</v>
      </c>
      <c r="AZ106" s="1" t="n">
        <v>0.258952496954933</v>
      </c>
      <c r="BA106" s="1" t="n">
        <v>2.44823386114495</v>
      </c>
      <c r="BB106" s="1" t="n">
        <v>2.47015834348356</v>
      </c>
      <c r="BC106" s="1" t="n">
        <v>0.604384896467722</v>
      </c>
      <c r="BD106" s="1" t="n">
        <v>1.74933008526188</v>
      </c>
      <c r="BE106" s="1" t="n">
        <v>0.362728380024361</v>
      </c>
      <c r="BF106" s="1" t="n">
        <v>5.49354445797808</v>
      </c>
      <c r="BG106" s="1" t="n">
        <v>7.98784409257004</v>
      </c>
      <c r="BH106" s="1" t="n">
        <v>4.74981729598051</v>
      </c>
      <c r="BI106" s="1" t="n">
        <v>8.7315712545676</v>
      </c>
      <c r="BJ106" s="1" t="n">
        <v>5.58467081559122</v>
      </c>
      <c r="BK106" s="1" t="n">
        <v>13.4813885505481</v>
      </c>
    </row>
    <row r="107" customFormat="false" ht="12.8" hidden="false" customHeight="false" outlineLevel="0" collapsed="false">
      <c r="A107" s="1" t="s">
        <v>323</v>
      </c>
      <c r="B107" s="6" t="n">
        <v>43287</v>
      </c>
      <c r="C107" s="25" t="n">
        <v>7</v>
      </c>
      <c r="D107" s="1" t="s">
        <v>169</v>
      </c>
      <c r="E107" s="1" t="s">
        <v>175</v>
      </c>
      <c r="F107" s="1" t="n">
        <v>20</v>
      </c>
      <c r="G107" s="1" t="n">
        <v>90</v>
      </c>
      <c r="H107" s="1" t="n">
        <v>1.4</v>
      </c>
      <c r="I107" s="1" t="n">
        <v>1.55555555555556</v>
      </c>
      <c r="J107" s="1" t="n">
        <v>89.4</v>
      </c>
      <c r="K107" s="1" t="n">
        <v>1.1175</v>
      </c>
      <c r="L107" s="1" t="n">
        <v>0.666666666666667</v>
      </c>
      <c r="M107" s="1" t="n">
        <v>0.0156599552572707</v>
      </c>
      <c r="N107" s="1" t="n">
        <v>0.6</v>
      </c>
      <c r="P107" s="1" t="n">
        <v>108.23930149784</v>
      </c>
      <c r="Q107" s="1" t="n">
        <v>0.0419132966246186</v>
      </c>
      <c r="R107" s="1" t="n">
        <v>3.83056062306805</v>
      </c>
      <c r="S107" s="1" t="n">
        <v>42.87</v>
      </c>
      <c r="T107" s="1" t="s">
        <v>173</v>
      </c>
      <c r="U107" s="1" t="s">
        <v>173</v>
      </c>
      <c r="V107" s="1" t="s">
        <v>173</v>
      </c>
      <c r="W107" s="1" t="s">
        <v>173</v>
      </c>
      <c r="X107" s="1" t="s">
        <v>173</v>
      </c>
      <c r="Y107" s="1" t="s">
        <v>173</v>
      </c>
      <c r="Z107" s="1" t="n">
        <v>0</v>
      </c>
      <c r="AA107" s="1" t="s">
        <v>173</v>
      </c>
      <c r="AB107" s="1" t="n">
        <v>46</v>
      </c>
      <c r="AC107" s="1" t="n">
        <v>1.64347826086957</v>
      </c>
      <c r="AD107" s="1" t="n">
        <v>0.815541781450872</v>
      </c>
      <c r="AE107" s="1" t="n">
        <v>0.580603367538347</v>
      </c>
      <c r="AF107" s="1" t="n">
        <v>2</v>
      </c>
      <c r="AG107" s="1" t="n">
        <v>107</v>
      </c>
      <c r="AH107" s="1" t="n">
        <v>68</v>
      </c>
      <c r="AI107" s="1" t="n">
        <v>39</v>
      </c>
      <c r="AJ107" s="1" t="n">
        <v>0</v>
      </c>
      <c r="AK107" s="1" t="n">
        <v>0</v>
      </c>
      <c r="AL107" s="1" t="n">
        <v>0</v>
      </c>
      <c r="AM107" s="1" t="n">
        <v>1.36448598130841</v>
      </c>
      <c r="AN107" s="1" t="n">
        <v>0.088328543180808</v>
      </c>
      <c r="AO107" s="1" t="n">
        <v>0.00260338278087486</v>
      </c>
      <c r="AP107" s="1" t="n">
        <v>0.126161757684328</v>
      </c>
      <c r="AQ107" s="1" t="n">
        <v>7.09860735525509</v>
      </c>
      <c r="AR107" s="1" t="n">
        <v>8.31487787660596</v>
      </c>
      <c r="AS107" s="1" t="n">
        <v>0.0448362720403023</v>
      </c>
      <c r="AT107" s="1" t="n">
        <v>0.0287153652392947</v>
      </c>
      <c r="AU107" s="1" t="n">
        <v>0.777329974811083</v>
      </c>
      <c r="AV107" s="1" t="n">
        <v>0.0335012594458438</v>
      </c>
      <c r="AW107" s="1" t="n">
        <v>0.0259445843828715</v>
      </c>
      <c r="AX107" s="1" t="n">
        <v>0.535264483627204</v>
      </c>
      <c r="AY107" s="1" t="n">
        <v>0.0695214105793451</v>
      </c>
      <c r="AZ107" s="1" t="n">
        <v>0.112267002518892</v>
      </c>
      <c r="BA107" s="1" t="n">
        <v>1.84861460957179</v>
      </c>
      <c r="BB107" s="1" t="n">
        <v>2.09647355163728</v>
      </c>
      <c r="BC107" s="1" t="n">
        <v>0.587657430730479</v>
      </c>
      <c r="BD107" s="1" t="n">
        <v>1.8831234256927</v>
      </c>
      <c r="BE107" s="1" t="n">
        <v>0.418639798488665</v>
      </c>
      <c r="BF107" s="1" t="n">
        <v>1.4455919395466</v>
      </c>
      <c r="BG107" s="1" t="n">
        <v>7.01629722921914</v>
      </c>
      <c r="BH107" s="1" t="n">
        <v>0.668261964735516</v>
      </c>
      <c r="BI107" s="1" t="n">
        <v>7.79362720403023</v>
      </c>
      <c r="BJ107" s="1" t="n">
        <v>0.688593648736228</v>
      </c>
      <c r="BK107" s="1" t="n">
        <v>8.46188916876574</v>
      </c>
    </row>
    <row r="108" customFormat="false" ht="12.8" hidden="false" customHeight="false" outlineLevel="0" collapsed="false">
      <c r="A108" s="1" t="s">
        <v>324</v>
      </c>
      <c r="B108" s="6" t="n">
        <v>43287</v>
      </c>
      <c r="C108" s="25" t="n">
        <v>7</v>
      </c>
      <c r="D108" s="1" t="s">
        <v>169</v>
      </c>
      <c r="E108" s="1" t="s">
        <v>175</v>
      </c>
      <c r="F108" s="1" t="n">
        <v>19.2</v>
      </c>
      <c r="G108" s="1" t="n">
        <v>81</v>
      </c>
      <c r="H108" s="1" t="n">
        <v>1</v>
      </c>
      <c r="I108" s="1" t="n">
        <v>1.23456790123457</v>
      </c>
      <c r="J108" s="1" t="n">
        <v>80.4</v>
      </c>
      <c r="K108" s="1" t="n">
        <v>1.13593207465278</v>
      </c>
      <c r="L108" s="1" t="n">
        <v>0.740740740740741</v>
      </c>
      <c r="M108" s="1" t="n">
        <v>0.0124378109452736</v>
      </c>
      <c r="N108" s="1" t="n">
        <v>0.6</v>
      </c>
      <c r="P108" s="1" t="n">
        <v>51.0686385191494</v>
      </c>
      <c r="Q108" s="1" t="n">
        <v>0.043026833634934</v>
      </c>
      <c r="R108" s="1" t="n">
        <v>3.32611355510064</v>
      </c>
      <c r="S108" s="1" t="s">
        <v>198</v>
      </c>
      <c r="T108" s="1" t="s">
        <v>173</v>
      </c>
      <c r="U108" s="1" t="s">
        <v>173</v>
      </c>
      <c r="V108" s="1" t="s">
        <v>173</v>
      </c>
      <c r="W108" s="1" t="s">
        <v>173</v>
      </c>
      <c r="X108" s="1" t="s">
        <v>173</v>
      </c>
      <c r="Y108" s="1" t="s">
        <v>173</v>
      </c>
      <c r="Z108" s="1" t="n">
        <v>0</v>
      </c>
      <c r="AA108" s="1" t="s">
        <v>173</v>
      </c>
      <c r="AB108" s="1" t="n">
        <v>295</v>
      </c>
      <c r="AC108" s="1" t="n">
        <v>1.17788461538462</v>
      </c>
      <c r="AD108" s="1" t="n">
        <v>0.653</v>
      </c>
      <c r="AE108" s="1" t="n">
        <v>0.428595902300375</v>
      </c>
      <c r="AF108" s="1" t="n">
        <v>2</v>
      </c>
      <c r="AG108" s="1" t="n">
        <v>121</v>
      </c>
      <c r="AH108" s="1" t="n">
        <v>60</v>
      </c>
      <c r="AI108" s="1" t="n">
        <v>61</v>
      </c>
      <c r="AJ108" s="1" t="n">
        <v>0</v>
      </c>
      <c r="AK108" s="1" t="n">
        <v>0</v>
      </c>
      <c r="AL108" s="1" t="n">
        <v>0</v>
      </c>
      <c r="AM108" s="1" t="n">
        <v>1.50413223140496</v>
      </c>
      <c r="AN108" s="1" t="s">
        <v>173</v>
      </c>
      <c r="AO108" s="1" t="s">
        <v>173</v>
      </c>
      <c r="AP108" s="1" t="n">
        <v>0.123785161473066</v>
      </c>
      <c r="AQ108" s="1" t="s">
        <v>173</v>
      </c>
      <c r="AR108" s="1" t="n">
        <v>15.2066121559008</v>
      </c>
      <c r="AS108" s="1" t="n">
        <v>0.0484367708819412</v>
      </c>
      <c r="AT108" s="1" t="n">
        <v>0.0134391040597294</v>
      </c>
      <c r="AU108" s="1" t="n">
        <v>0.685954269715352</v>
      </c>
      <c r="AV108" s="1" t="n">
        <v>0.0291180587960803</v>
      </c>
      <c r="AW108" s="1" t="n">
        <v>0.103313112459169</v>
      </c>
      <c r="AX108" s="1" t="n">
        <v>2.43415772281848</v>
      </c>
      <c r="AY108" s="1" t="n">
        <v>0</v>
      </c>
      <c r="AZ108" s="1" t="n">
        <v>0.172608492767149</v>
      </c>
      <c r="BA108" s="1" t="n">
        <v>6.80914605692954</v>
      </c>
      <c r="BB108" s="1" t="n">
        <v>2.52515165655623</v>
      </c>
      <c r="BC108" s="1" t="n">
        <v>0.792627158189454</v>
      </c>
      <c r="BD108" s="1" t="n">
        <v>0.430051329911339</v>
      </c>
      <c r="BE108" s="1" t="n">
        <v>0.327578161455903</v>
      </c>
      <c r="BF108" s="1" t="n">
        <v>3.31441903873075</v>
      </c>
      <c r="BG108" s="1" t="n">
        <v>11.0571628558096</v>
      </c>
      <c r="BH108" s="1" t="n">
        <v>2.6284647690154</v>
      </c>
      <c r="BI108" s="1" t="n">
        <v>11.743117125525</v>
      </c>
      <c r="BJ108" s="1" t="n">
        <v>3.54857142857143</v>
      </c>
      <c r="BK108" s="1" t="n">
        <v>14.3715818945404</v>
      </c>
    </row>
    <row r="109" customFormat="false" ht="12.8" hidden="false" customHeight="false" outlineLevel="0" collapsed="false">
      <c r="A109" s="1" t="s">
        <v>325</v>
      </c>
      <c r="B109" s="6" t="n">
        <v>43287</v>
      </c>
      <c r="C109" s="25" t="n">
        <v>7</v>
      </c>
      <c r="D109" s="1" t="s">
        <v>169</v>
      </c>
      <c r="E109" s="1" t="s">
        <v>175</v>
      </c>
      <c r="F109" s="1" t="n">
        <v>27.6</v>
      </c>
      <c r="G109" s="1" t="n">
        <v>244</v>
      </c>
      <c r="H109" s="1" t="n">
        <v>5.7</v>
      </c>
      <c r="I109" s="1" t="n">
        <v>2.33606557377049</v>
      </c>
      <c r="J109" s="1" t="n">
        <v>241.3</v>
      </c>
      <c r="K109" s="1" t="n">
        <v>1.14770447689409</v>
      </c>
      <c r="L109" s="1" t="n">
        <v>1.10655737704918</v>
      </c>
      <c r="M109" s="1" t="n">
        <v>0.0236220472440945</v>
      </c>
      <c r="N109" s="1" t="n">
        <v>2.7</v>
      </c>
      <c r="O109" s="1" t="s">
        <v>326</v>
      </c>
      <c r="P109" s="1" t="n">
        <v>85.8782840606217</v>
      </c>
      <c r="Q109" s="1" t="n">
        <v>0.0322470847743934</v>
      </c>
      <c r="R109" s="1" t="n">
        <v>1.33880560305675</v>
      </c>
      <c r="S109" s="1" t="n">
        <v>52.07</v>
      </c>
      <c r="T109" s="1" t="s">
        <v>173</v>
      </c>
      <c r="U109" s="1" t="s">
        <v>182</v>
      </c>
      <c r="V109" s="1" t="s">
        <v>173</v>
      </c>
      <c r="W109" s="1" t="s">
        <v>173</v>
      </c>
      <c r="X109" s="1" t="s">
        <v>173</v>
      </c>
      <c r="Y109" s="1" t="s">
        <v>173</v>
      </c>
      <c r="Z109" s="1" t="n">
        <v>1</v>
      </c>
      <c r="AA109" s="1" t="s">
        <v>173</v>
      </c>
      <c r="AB109" s="1" t="n">
        <v>44</v>
      </c>
      <c r="AC109" s="1" t="n">
        <v>1.71381578947368</v>
      </c>
      <c r="AD109" s="1" t="n">
        <v>0.755280073461892</v>
      </c>
      <c r="AE109" s="1" t="n">
        <v>0.463775015419307</v>
      </c>
      <c r="AF109" s="1" t="n">
        <v>2</v>
      </c>
      <c r="AG109" s="1" t="n">
        <v>127</v>
      </c>
      <c r="AH109" s="1" t="n">
        <v>76</v>
      </c>
      <c r="AI109" s="1" t="n">
        <v>45</v>
      </c>
      <c r="AJ109" s="1" t="n">
        <v>0</v>
      </c>
      <c r="AK109" s="1" t="n">
        <v>0</v>
      </c>
      <c r="AL109" s="1" t="n">
        <v>0</v>
      </c>
      <c r="AM109" s="1" t="n">
        <v>1.37190082644628</v>
      </c>
      <c r="AN109" s="1" t="n">
        <v>0.137684895172023</v>
      </c>
      <c r="AO109" s="1" t="n">
        <v>0.00589148587337276</v>
      </c>
      <c r="AP109" s="1" t="n">
        <v>0.109402723256558</v>
      </c>
      <c r="AQ109" s="1" t="n">
        <v>13.7786073552551</v>
      </c>
      <c r="AR109" s="1" t="n">
        <v>8.71487787660596</v>
      </c>
      <c r="AS109" s="1" t="n">
        <v>0</v>
      </c>
      <c r="AT109" s="1" t="n">
        <v>0.098324478953821</v>
      </c>
      <c r="AU109" s="1" t="n">
        <v>0.652227217000409</v>
      </c>
      <c r="AV109" s="1" t="n">
        <v>0.0304045770331018</v>
      </c>
      <c r="AW109" s="1" t="n">
        <v>0.0343277482631794</v>
      </c>
      <c r="AX109" s="1" t="n">
        <v>3.39109113199837</v>
      </c>
      <c r="AY109" s="1" t="n">
        <v>0</v>
      </c>
      <c r="AZ109" s="1" t="n">
        <v>0.151973845525133</v>
      </c>
      <c r="BA109" s="1" t="n">
        <v>7.43686146301594</v>
      </c>
      <c r="BB109" s="1" t="n">
        <v>2.65304454434001</v>
      </c>
      <c r="BC109" s="1" t="n">
        <v>0.876828769922354</v>
      </c>
      <c r="BD109" s="1" t="n">
        <v>0.254515733551287</v>
      </c>
      <c r="BE109" s="1" t="n">
        <v>0.179656722517368</v>
      </c>
      <c r="BF109" s="1" t="n">
        <v>4.20637515324888</v>
      </c>
      <c r="BG109" s="1" t="n">
        <v>11.5528810788721</v>
      </c>
      <c r="BH109" s="1" t="n">
        <v>3.55414793624847</v>
      </c>
      <c r="BI109" s="1" t="n">
        <v>12.2051082958725</v>
      </c>
      <c r="BJ109" s="1" t="n">
        <v>5.19924812030075</v>
      </c>
      <c r="BK109" s="1" t="n">
        <v>15.759256232121</v>
      </c>
      <c r="BL109" s="7" t="s">
        <v>224</v>
      </c>
      <c r="BM109" s="7" t="s">
        <v>224</v>
      </c>
      <c r="BN109" s="7" t="s">
        <v>223</v>
      </c>
      <c r="BO109" s="7" t="s">
        <v>223</v>
      </c>
      <c r="BP109" s="7" t="s">
        <v>223</v>
      </c>
      <c r="BQ109" s="7" t="s">
        <v>223</v>
      </c>
      <c r="BR109" s="7" t="s">
        <v>223</v>
      </c>
      <c r="BS109" s="7" t="s">
        <v>223</v>
      </c>
      <c r="BT109" s="7" t="s">
        <v>224</v>
      </c>
      <c r="BU109" s="7" t="s">
        <v>223</v>
      </c>
      <c r="BV109" s="7" t="s">
        <v>223</v>
      </c>
      <c r="BW109" s="7" t="s">
        <v>224</v>
      </c>
      <c r="BX109" s="7" t="s">
        <v>223</v>
      </c>
      <c r="BY109" s="7" t="n">
        <v>3.15229226627438</v>
      </c>
      <c r="BZ109" s="7" t="s">
        <v>223</v>
      </c>
      <c r="CA109" s="7" t="n">
        <v>2.47883767874594</v>
      </c>
      <c r="CB109" s="7" t="s">
        <v>223</v>
      </c>
      <c r="CC109" s="7" t="s">
        <v>223</v>
      </c>
      <c r="CD109" s="7" t="s">
        <v>223</v>
      </c>
      <c r="CE109" s="7" t="n">
        <v>7.24162546462065</v>
      </c>
      <c r="CF109" s="7" t="s">
        <v>223</v>
      </c>
      <c r="CG109" s="7" t="s">
        <v>223</v>
      </c>
      <c r="CH109" s="7" t="s">
        <v>223</v>
      </c>
      <c r="CI109" s="7" t="s">
        <v>223</v>
      </c>
      <c r="CJ109" s="10" t="n">
        <f aca="false">SUM(BL109:CI109)</f>
        <v>12.872755409641</v>
      </c>
      <c r="CK109" s="7" t="s">
        <v>223</v>
      </c>
      <c r="CL109" s="7" t="s">
        <v>223</v>
      </c>
      <c r="CM109" s="7" t="n">
        <v>42.5461314842861</v>
      </c>
      <c r="CN109" s="7" t="s">
        <v>224</v>
      </c>
      <c r="CO109" s="7" t="s">
        <v>224</v>
      </c>
      <c r="CP109" s="7" t="s">
        <v>223</v>
      </c>
      <c r="CQ109" s="7" t="s">
        <v>224</v>
      </c>
      <c r="CR109" s="7" t="n">
        <v>4.31903503534113</v>
      </c>
      <c r="CS109" s="7" t="n">
        <v>6.15546170740728</v>
      </c>
      <c r="CT109" s="7" t="s">
        <v>223</v>
      </c>
      <c r="CU109" s="7" t="n">
        <v>16.4585214371163</v>
      </c>
      <c r="CV109" s="7" t="n">
        <v>13.3257540852526</v>
      </c>
      <c r="CW109" s="7" t="n">
        <v>14.609852953634</v>
      </c>
      <c r="CX109" s="7" t="n">
        <v>39.1457488372862</v>
      </c>
      <c r="CY109" s="7" t="s">
        <v>224</v>
      </c>
      <c r="CZ109" s="7" t="s">
        <v>224</v>
      </c>
      <c r="DA109" s="7" t="s">
        <v>224</v>
      </c>
      <c r="DB109" s="7" t="n">
        <v>91.4879637683705</v>
      </c>
      <c r="DC109" s="7" t="n">
        <v>17.2189083816635</v>
      </c>
      <c r="DD109" s="7" t="n">
        <v>74.1526290452214</v>
      </c>
      <c r="DE109" s="7" t="s">
        <v>224</v>
      </c>
      <c r="DF109" s="7" t="s">
        <v>223</v>
      </c>
      <c r="DG109" s="7" t="s">
        <v>224</v>
      </c>
      <c r="DH109" s="7" t="n">
        <v>22.6743140969882</v>
      </c>
      <c r="DI109" s="7" t="n">
        <v>41.5445756895187</v>
      </c>
      <c r="DJ109" s="7" t="s">
        <v>224</v>
      </c>
      <c r="DK109" s="10" t="n">
        <f aca="false">SUM(CK109:DJ109)</f>
        <v>383.638896522086</v>
      </c>
      <c r="DL109" s="7" t="s">
        <v>223</v>
      </c>
      <c r="DM109" s="7" t="s">
        <v>223</v>
      </c>
      <c r="DN109" s="7" t="s">
        <v>223</v>
      </c>
      <c r="DO109" s="7" t="s">
        <v>223</v>
      </c>
      <c r="DP109" s="7" t="s">
        <v>223</v>
      </c>
      <c r="DQ109" s="7" t="s">
        <v>223</v>
      </c>
      <c r="DR109" s="7" t="s">
        <v>223</v>
      </c>
      <c r="DS109" s="7" t="s">
        <v>223</v>
      </c>
      <c r="DT109" s="7" t="s">
        <v>223</v>
      </c>
      <c r="DU109" s="7" t="s">
        <v>223</v>
      </c>
      <c r="DV109" s="7" t="s">
        <v>223</v>
      </c>
      <c r="DW109" s="7" t="n">
        <v>6.64539243011837</v>
      </c>
      <c r="DX109" s="7" t="s">
        <v>223</v>
      </c>
      <c r="DY109" s="7" t="s">
        <v>224</v>
      </c>
      <c r="DZ109" s="7" t="s">
        <v>223</v>
      </c>
      <c r="EA109" s="7" t="s">
        <v>223</v>
      </c>
      <c r="EB109" s="7" t="s">
        <v>223</v>
      </c>
      <c r="EC109" s="7" t="s">
        <v>223</v>
      </c>
      <c r="ED109" s="7" t="s">
        <v>223</v>
      </c>
      <c r="EE109" s="7" t="s">
        <v>223</v>
      </c>
      <c r="EF109" s="7" t="s">
        <v>223</v>
      </c>
      <c r="EG109" s="7" t="s">
        <v>223</v>
      </c>
      <c r="EH109" s="7" t="s">
        <v>223</v>
      </c>
      <c r="EI109" s="7" t="s">
        <v>223</v>
      </c>
      <c r="EJ109" s="7" t="s">
        <v>223</v>
      </c>
      <c r="EK109" s="7" t="s">
        <v>223</v>
      </c>
      <c r="EL109" s="7" t="s">
        <v>223</v>
      </c>
      <c r="EM109" s="10" t="n">
        <f aca="false">SUM(DL109:EL109)</f>
        <v>6.64539243011837</v>
      </c>
      <c r="EN109" s="7" t="s">
        <v>223</v>
      </c>
      <c r="EO109" s="7" t="s">
        <v>224</v>
      </c>
      <c r="EP109" s="7" t="s">
        <v>223</v>
      </c>
      <c r="EQ109" s="7" t="s">
        <v>223</v>
      </c>
      <c r="ER109" s="7" t="s">
        <v>223</v>
      </c>
      <c r="ES109" s="7" t="s">
        <v>223</v>
      </c>
      <c r="ET109" s="7" t="s">
        <v>223</v>
      </c>
      <c r="EU109" s="27" t="n">
        <f aca="false">SUM(EN109:ET109)</f>
        <v>0</v>
      </c>
      <c r="EV109" s="1" t="n">
        <v>0.38655799031477</v>
      </c>
      <c r="EW109" s="1" t="n">
        <v>1.39194785108959</v>
      </c>
      <c r="EX109" s="1" t="n">
        <v>0.0267877905569007</v>
      </c>
      <c r="EY109" s="1" t="s">
        <v>225</v>
      </c>
      <c r="EZ109" s="1" t="s">
        <v>225</v>
      </c>
      <c r="FA109" s="1" t="n">
        <v>21.314943220339</v>
      </c>
      <c r="FB109" s="1" t="n">
        <v>114.527977209443</v>
      </c>
      <c r="FC109" s="1" t="n">
        <v>0.315349939467312</v>
      </c>
      <c r="FD109" s="1" t="n">
        <v>1.59879028450363</v>
      </c>
      <c r="FE109" s="1" t="n">
        <v>0.0118680084745763</v>
      </c>
      <c r="FF109" s="1" t="n">
        <v>0.0288223062953995</v>
      </c>
      <c r="FG109" s="1" t="s">
        <v>225</v>
      </c>
      <c r="FH109" s="1" t="n">
        <v>0.574750696125908</v>
      </c>
      <c r="FI109" s="1" t="n">
        <v>0.0305177360774818</v>
      </c>
      <c r="FJ109" s="1" t="s">
        <v>225</v>
      </c>
      <c r="FK109" s="1" t="n">
        <v>76.2366955811138</v>
      </c>
      <c r="FL109" s="1" t="n">
        <v>0.400079042826876</v>
      </c>
    </row>
    <row r="110" customFormat="false" ht="12.8" hidden="false" customHeight="false" outlineLevel="0" collapsed="false">
      <c r="A110" s="1" t="s">
        <v>327</v>
      </c>
      <c r="B110" s="6" t="n">
        <v>43287</v>
      </c>
      <c r="C110" s="25" t="n">
        <v>7</v>
      </c>
      <c r="D110" s="1" t="s">
        <v>169</v>
      </c>
      <c r="E110" s="1" t="s">
        <v>175</v>
      </c>
      <c r="F110" s="1" t="n">
        <v>18.8</v>
      </c>
      <c r="G110" s="1" t="n">
        <v>77</v>
      </c>
      <c r="H110" s="1" t="n">
        <v>1.1</v>
      </c>
      <c r="I110" s="1" t="n">
        <v>1.42857142857143</v>
      </c>
      <c r="J110" s="1" t="n">
        <v>76.4</v>
      </c>
      <c r="K110" s="1" t="n">
        <v>1.14979339837993</v>
      </c>
      <c r="L110" s="1" t="n">
        <v>0.779220779220779</v>
      </c>
      <c r="M110" s="1" t="n">
        <v>0.0143979057591623</v>
      </c>
      <c r="N110" s="1" t="n">
        <v>0.6</v>
      </c>
      <c r="P110" s="1" t="s">
        <v>173</v>
      </c>
      <c r="Q110" s="1" t="n">
        <v>0.0853626307245063</v>
      </c>
      <c r="R110" s="1" t="n">
        <v>2.72462988912159</v>
      </c>
      <c r="S110" s="1" t="n">
        <v>48.61</v>
      </c>
      <c r="T110" s="1" t="s">
        <v>173</v>
      </c>
      <c r="U110" s="1" t="s">
        <v>173</v>
      </c>
      <c r="V110" s="1" t="s">
        <v>173</v>
      </c>
      <c r="W110" s="1" t="s">
        <v>173</v>
      </c>
      <c r="X110" s="1" t="s">
        <v>173</v>
      </c>
      <c r="Y110" s="1" t="s">
        <v>173</v>
      </c>
      <c r="Z110" s="1" t="n">
        <v>0</v>
      </c>
      <c r="AA110" s="1" t="s">
        <v>173</v>
      </c>
      <c r="AB110" s="1" t="n">
        <v>22</v>
      </c>
      <c r="AC110" s="1" t="n">
        <v>1.69750231267345</v>
      </c>
      <c r="AD110" s="1" t="n">
        <v>0.610651974288338</v>
      </c>
      <c r="AE110" s="1" t="n">
        <v>0.894912065621036</v>
      </c>
      <c r="AF110" s="1" t="n">
        <v>2</v>
      </c>
      <c r="AG110" s="1" t="n">
        <v>103</v>
      </c>
      <c r="AH110" s="1" t="n">
        <v>65</v>
      </c>
      <c r="AI110" s="1" t="n">
        <v>38</v>
      </c>
      <c r="AJ110" s="1" t="n">
        <v>0</v>
      </c>
      <c r="AK110" s="1" t="n">
        <v>0</v>
      </c>
      <c r="AL110" s="1" t="n">
        <v>0</v>
      </c>
      <c r="AM110" s="1" t="n">
        <v>1.36893203883495</v>
      </c>
      <c r="AN110" s="1" t="n">
        <v>0.0258071010884601</v>
      </c>
      <c r="AO110" s="1" t="n">
        <v>0.000973057452617024</v>
      </c>
      <c r="AP110" s="1" t="n">
        <v>0.119940345517024</v>
      </c>
      <c r="AQ110" s="1" t="n">
        <v>17.8586073552551</v>
      </c>
      <c r="AR110" s="1" t="n">
        <v>9.15487787660596</v>
      </c>
      <c r="AS110" s="1" t="n">
        <v>0.0275095785440613</v>
      </c>
      <c r="AT110" s="1" t="n">
        <v>0.0053639846743295</v>
      </c>
      <c r="AU110" s="1" t="n">
        <v>0.811749680715198</v>
      </c>
      <c r="AV110" s="1" t="n">
        <v>0</v>
      </c>
      <c r="AW110" s="1" t="n">
        <v>0.0830140485312899</v>
      </c>
      <c r="AX110" s="1" t="n">
        <v>1.46564495530013</v>
      </c>
      <c r="AY110" s="1" t="n">
        <v>0</v>
      </c>
      <c r="AZ110" s="1" t="n">
        <v>0.0533333333333333</v>
      </c>
      <c r="BA110" s="1" t="n">
        <v>8.70242656449553</v>
      </c>
      <c r="BB110" s="1" t="n">
        <v>2.33537675606641</v>
      </c>
      <c r="BC110" s="1" t="n">
        <v>0.770625798212005</v>
      </c>
      <c r="BD110" s="1" t="n">
        <v>0.279693486590038</v>
      </c>
      <c r="BE110" s="1" t="n">
        <v>0.209067688378033</v>
      </c>
      <c r="BF110" s="1" t="n">
        <v>2.39328224776501</v>
      </c>
      <c r="BG110" s="1" t="n">
        <v>12.3505236270754</v>
      </c>
      <c r="BH110" s="1" t="n">
        <v>1.58153256704981</v>
      </c>
      <c r="BI110" s="1" t="n">
        <v>13.1622733077906</v>
      </c>
      <c r="BJ110" s="1" t="n">
        <v>1.80553807426054</v>
      </c>
      <c r="BK110" s="1" t="n">
        <v>14.7438058748404</v>
      </c>
    </row>
    <row r="111" customFormat="false" ht="12.8" hidden="false" customHeight="false" outlineLevel="0" collapsed="false">
      <c r="A111" s="1" t="s">
        <v>328</v>
      </c>
      <c r="B111" s="6" t="n">
        <v>43287</v>
      </c>
      <c r="C111" s="25" t="n">
        <v>7</v>
      </c>
      <c r="D111" s="1" t="s">
        <v>169</v>
      </c>
      <c r="E111" s="1" t="s">
        <v>175</v>
      </c>
      <c r="F111" s="1" t="n">
        <v>23</v>
      </c>
      <c r="G111" s="1" t="n">
        <v>167</v>
      </c>
      <c r="H111" s="1" t="n">
        <v>2.4</v>
      </c>
      <c r="I111" s="1" t="n">
        <v>1.43712574850299</v>
      </c>
      <c r="J111" s="1" t="n">
        <v>165.4</v>
      </c>
      <c r="K111" s="1" t="n">
        <v>1.35941481055314</v>
      </c>
      <c r="L111" s="1" t="n">
        <v>0.958083832335329</v>
      </c>
      <c r="M111" s="1" t="n">
        <v>0.0145102781136638</v>
      </c>
      <c r="N111" s="1" t="n">
        <v>1.6</v>
      </c>
      <c r="O111" s="1" t="s">
        <v>329</v>
      </c>
      <c r="P111" s="1" t="n">
        <v>48.1269586665108</v>
      </c>
      <c r="Q111" s="1" t="n">
        <v>0.050723045520954</v>
      </c>
      <c r="R111" s="1" t="n">
        <v>3.01231260687769</v>
      </c>
      <c r="S111" s="1" t="n">
        <v>46.03</v>
      </c>
      <c r="T111" s="1" t="s">
        <v>173</v>
      </c>
      <c r="U111" s="1" t="s">
        <v>173</v>
      </c>
      <c r="V111" s="1" t="s">
        <v>173</v>
      </c>
      <c r="W111" s="1" t="s">
        <v>173</v>
      </c>
      <c r="X111" s="1" t="s">
        <v>173</v>
      </c>
      <c r="Y111" s="1" t="s">
        <v>173</v>
      </c>
      <c r="Z111" s="1" t="n">
        <v>0</v>
      </c>
      <c r="AA111" s="1" t="s">
        <v>173</v>
      </c>
      <c r="AB111" s="1" t="n">
        <v>86</v>
      </c>
      <c r="AC111" s="1" t="n">
        <v>3.25205640423032</v>
      </c>
      <c r="AD111" s="1" t="n">
        <v>1.00034435261708</v>
      </c>
      <c r="AF111" s="1" t="n">
        <v>2</v>
      </c>
      <c r="AG111" s="1" t="n">
        <v>121</v>
      </c>
      <c r="AH111" s="1" t="n">
        <v>74</v>
      </c>
      <c r="AI111" s="1" t="n">
        <v>47</v>
      </c>
      <c r="AJ111" s="1" t="n">
        <v>0</v>
      </c>
      <c r="AK111" s="1" t="n">
        <v>0</v>
      </c>
      <c r="AL111" s="1" t="n">
        <v>0</v>
      </c>
      <c r="AM111" s="1" t="n">
        <v>1.38842975206612</v>
      </c>
      <c r="AN111" s="1" t="n">
        <v>0.0898068784503274</v>
      </c>
      <c r="AO111" s="1" t="n">
        <v>0.00394898856839925</v>
      </c>
      <c r="AP111" s="1" t="n">
        <v>0.100589860479551</v>
      </c>
      <c r="AQ111" s="1" t="n">
        <v>14.8586073552551</v>
      </c>
      <c r="AR111" s="1" t="n">
        <v>10.574877876606</v>
      </c>
      <c r="AS111" s="1" t="n">
        <v>0</v>
      </c>
      <c r="AT111" s="1" t="n">
        <v>0.0753633991800224</v>
      </c>
      <c r="AU111" s="1" t="n">
        <v>0.695490122996646</v>
      </c>
      <c r="AV111" s="1" t="n">
        <v>0</v>
      </c>
      <c r="AW111" s="1" t="n">
        <v>0.027506522549385</v>
      </c>
      <c r="AX111" s="1" t="n">
        <v>1.69802459932911</v>
      </c>
      <c r="AY111" s="1" t="n">
        <v>0</v>
      </c>
      <c r="AZ111" s="1" t="n">
        <v>0.104793142005218</v>
      </c>
      <c r="BA111" s="1" t="n">
        <v>7.38650764070071</v>
      </c>
      <c r="BB111" s="1" t="n">
        <v>2.34364517331346</v>
      </c>
      <c r="BC111" s="1" t="n">
        <v>0.786507640700708</v>
      </c>
      <c r="BD111" s="1" t="n">
        <v>0.265449124114797</v>
      </c>
      <c r="BE111" s="1" t="n">
        <v>0.178412225121133</v>
      </c>
      <c r="BF111" s="1" t="n">
        <v>2.49638464405516</v>
      </c>
      <c r="BG111" s="1" t="n">
        <v>11.065314945956</v>
      </c>
      <c r="BH111" s="1" t="n">
        <v>1.80089452105852</v>
      </c>
      <c r="BI111" s="1" t="n">
        <v>11.7608050689527</v>
      </c>
      <c r="BJ111" s="1" t="n">
        <v>2.44147909967846</v>
      </c>
      <c r="BK111" s="1" t="n">
        <v>13.5616995900112</v>
      </c>
    </row>
    <row r="112" customFormat="false" ht="12.8" hidden="false" customHeight="false" outlineLevel="0" collapsed="false">
      <c r="A112" s="1" t="s">
        <v>330</v>
      </c>
      <c r="B112" s="6" t="n">
        <v>43287</v>
      </c>
      <c r="C112" s="25" t="n">
        <v>7</v>
      </c>
      <c r="D112" s="1" t="s">
        <v>169</v>
      </c>
      <c r="E112" s="1" t="s">
        <v>175</v>
      </c>
      <c r="F112" s="1" t="n">
        <v>22.2</v>
      </c>
      <c r="G112" s="1" t="n">
        <v>154</v>
      </c>
      <c r="H112" s="1" t="n">
        <v>2.1</v>
      </c>
      <c r="I112" s="1" t="n">
        <v>1.36363636363636</v>
      </c>
      <c r="J112" s="1" t="n">
        <v>152.7</v>
      </c>
      <c r="K112" s="1" t="n">
        <v>1.39566154905819</v>
      </c>
      <c r="L112" s="1" t="n">
        <v>0.844155844155844</v>
      </c>
      <c r="M112" s="1" t="n">
        <v>0.0137524557956778</v>
      </c>
      <c r="N112" s="1" t="n">
        <v>1.3</v>
      </c>
      <c r="P112" s="1" t="n">
        <v>53.4489621875758</v>
      </c>
      <c r="Q112" s="1" t="n">
        <v>0.0666972552653838</v>
      </c>
      <c r="R112" s="1" t="n">
        <v>2.49107660772305</v>
      </c>
      <c r="S112" s="1" t="n">
        <v>52.79</v>
      </c>
      <c r="T112" s="1" t="s">
        <v>173</v>
      </c>
      <c r="U112" s="1" t="s">
        <v>173</v>
      </c>
      <c r="V112" s="1" t="s">
        <v>173</v>
      </c>
      <c r="W112" s="1" t="s">
        <v>173</v>
      </c>
      <c r="X112" s="1" t="s">
        <v>173</v>
      </c>
      <c r="Y112" s="1" t="s">
        <v>173</v>
      </c>
      <c r="Z112" s="1" t="n">
        <v>1</v>
      </c>
      <c r="AA112" s="1" t="s">
        <v>173</v>
      </c>
      <c r="AB112" s="1" t="n">
        <v>52</v>
      </c>
      <c r="AC112" s="1" t="n">
        <v>2.37300904003444</v>
      </c>
      <c r="AD112" s="1" t="n">
        <v>0.887855831037649</v>
      </c>
      <c r="AE112" s="1" t="n">
        <v>0.480129669484466</v>
      </c>
      <c r="AF112" s="1" t="n">
        <v>2</v>
      </c>
      <c r="AG112" s="1" t="n">
        <v>124</v>
      </c>
      <c r="AH112" s="1" t="n">
        <v>103</v>
      </c>
      <c r="AI112" s="1" t="n">
        <v>51</v>
      </c>
      <c r="AJ112" s="1" t="n">
        <v>0</v>
      </c>
      <c r="AK112" s="1" t="n">
        <v>0</v>
      </c>
      <c r="AL112" s="1" t="n">
        <v>0</v>
      </c>
      <c r="AM112" s="1" t="n">
        <v>1.33116883116883</v>
      </c>
      <c r="AN112" s="1" t="n">
        <v>0.0897068380958946</v>
      </c>
      <c r="AO112" s="1" t="n">
        <v>0.00173400032439301</v>
      </c>
      <c r="AP112" s="1" t="n">
        <v>0.106791383876754</v>
      </c>
      <c r="AQ112" s="1" t="n">
        <v>9.49860735525508</v>
      </c>
      <c r="AR112" s="1" t="n">
        <v>9.91487787660596</v>
      </c>
      <c r="AS112" s="1" t="n">
        <v>0.0701769529564092</v>
      </c>
      <c r="AT112" s="1" t="n">
        <v>0.0435045317220544</v>
      </c>
      <c r="AU112" s="1" t="n">
        <v>0.661372464393612</v>
      </c>
      <c r="AV112" s="1" t="n">
        <v>0.0178679326715581</v>
      </c>
      <c r="AW112" s="1" t="n">
        <v>0.0100992662926198</v>
      </c>
      <c r="AX112" s="1" t="n">
        <v>0.645317220543807</v>
      </c>
      <c r="AY112" s="1" t="n">
        <v>0.175002157962883</v>
      </c>
      <c r="AZ112" s="1" t="n">
        <v>0.186810530858869</v>
      </c>
      <c r="BA112" s="1" t="n">
        <v>1.64954682779456</v>
      </c>
      <c r="BB112" s="1" t="n">
        <v>2.00535174794994</v>
      </c>
      <c r="BC112" s="1" t="n">
        <v>0.465084160552438</v>
      </c>
      <c r="BD112" s="1" t="n">
        <v>1.67337073802331</v>
      </c>
      <c r="BE112" s="1" t="n">
        <v>0.428053517479499</v>
      </c>
      <c r="BF112" s="1" t="n">
        <v>1.44833836858006</v>
      </c>
      <c r="BG112" s="1" t="n">
        <v>6.58321968062149</v>
      </c>
      <c r="BH112" s="1" t="n">
        <v>0.786965904186448</v>
      </c>
      <c r="BI112" s="1" t="n">
        <v>7.24459214501511</v>
      </c>
      <c r="BJ112" s="1" t="n">
        <v>0.975724353954581</v>
      </c>
      <c r="BK112" s="1" t="n">
        <v>8.03155804920155</v>
      </c>
    </row>
    <row r="113" customFormat="false" ht="12.8" hidden="false" customHeight="false" outlineLevel="0" collapsed="false">
      <c r="A113" s="1" t="s">
        <v>331</v>
      </c>
      <c r="B113" s="6" t="n">
        <v>43287</v>
      </c>
      <c r="C113" s="25" t="n">
        <v>7</v>
      </c>
      <c r="D113" s="1" t="s">
        <v>169</v>
      </c>
      <c r="BL113" s="7" t="n">
        <v>33.2896518081439</v>
      </c>
      <c r="BM113" s="7" t="s">
        <v>224</v>
      </c>
      <c r="BN113" s="7" t="s">
        <v>223</v>
      </c>
      <c r="BO113" s="7" t="s">
        <v>223</v>
      </c>
      <c r="BP113" s="7" t="s">
        <v>223</v>
      </c>
      <c r="BQ113" s="7" t="s">
        <v>223</v>
      </c>
      <c r="BR113" s="7" t="s">
        <v>223</v>
      </c>
      <c r="BS113" s="7" t="s">
        <v>223</v>
      </c>
      <c r="BT113" s="7" t="s">
        <v>223</v>
      </c>
      <c r="BU113" s="7" t="s">
        <v>223</v>
      </c>
      <c r="BV113" s="7" t="s">
        <v>223</v>
      </c>
      <c r="BW113" s="7" t="s">
        <v>223</v>
      </c>
      <c r="BX113" s="7" t="s">
        <v>223</v>
      </c>
      <c r="BY113" s="7" t="s">
        <v>224</v>
      </c>
      <c r="BZ113" s="7" t="s">
        <v>223</v>
      </c>
      <c r="CA113" s="7" t="s">
        <v>224</v>
      </c>
      <c r="CB113" s="7" t="s">
        <v>223</v>
      </c>
      <c r="CC113" s="7" t="s">
        <v>223</v>
      </c>
      <c r="CD113" s="7" t="s">
        <v>223</v>
      </c>
      <c r="CE113" s="7" t="n">
        <v>2.8267917670017</v>
      </c>
      <c r="CF113" s="7" t="s">
        <v>223</v>
      </c>
      <c r="CG113" s="7" t="s">
        <v>223</v>
      </c>
      <c r="CH113" s="7" t="s">
        <v>223</v>
      </c>
      <c r="CI113" s="7" t="s">
        <v>223</v>
      </c>
      <c r="CJ113" s="10" t="n">
        <f aca="false">SUM(BL113:CI113)</f>
        <v>36.1164435751456</v>
      </c>
      <c r="CK113" s="7" t="s">
        <v>223</v>
      </c>
      <c r="CL113" s="7" t="s">
        <v>223</v>
      </c>
      <c r="CM113" s="7" t="s">
        <v>224</v>
      </c>
      <c r="CN113" s="7" t="s">
        <v>223</v>
      </c>
      <c r="CO113" s="7" t="s">
        <v>224</v>
      </c>
      <c r="CP113" s="7" t="s">
        <v>223</v>
      </c>
      <c r="CQ113" s="7" t="s">
        <v>223</v>
      </c>
      <c r="CR113" s="7" t="s">
        <v>224</v>
      </c>
      <c r="CS113" s="7" t="n">
        <v>2.83650413319038</v>
      </c>
      <c r="CT113" s="7" t="s">
        <v>223</v>
      </c>
      <c r="CU113" s="7" t="n">
        <v>13.4687755678751</v>
      </c>
      <c r="CV113" s="7" t="s">
        <v>224</v>
      </c>
      <c r="CW113" s="7" t="n">
        <v>8.92748559605825</v>
      </c>
      <c r="CX113" s="7" t="n">
        <v>22.3064597156185</v>
      </c>
      <c r="CY113" s="7" t="s">
        <v>223</v>
      </c>
      <c r="CZ113" s="7" t="s">
        <v>223</v>
      </c>
      <c r="DA113" s="7" t="s">
        <v>223</v>
      </c>
      <c r="DB113" s="7" t="n">
        <v>32.3173294088798</v>
      </c>
      <c r="DC113" s="7" t="n">
        <v>12.9473808470507</v>
      </c>
      <c r="DD113" s="7" t="n">
        <v>39.2887216911794</v>
      </c>
      <c r="DE113" s="7" t="s">
        <v>223</v>
      </c>
      <c r="DF113" s="7" t="s">
        <v>223</v>
      </c>
      <c r="DG113" s="7" t="s">
        <v>223</v>
      </c>
      <c r="DH113" s="7" t="s">
        <v>224</v>
      </c>
      <c r="DI113" s="7" t="n">
        <v>11.8086438503583</v>
      </c>
      <c r="DJ113" s="7" t="s">
        <v>223</v>
      </c>
      <c r="DK113" s="10" t="n">
        <f aca="false">SUM(CK113:DJ113)</f>
        <v>143.90130081021</v>
      </c>
      <c r="DL113" s="7" t="s">
        <v>223</v>
      </c>
      <c r="DM113" s="7" t="s">
        <v>223</v>
      </c>
      <c r="DN113" s="7" t="s">
        <v>223</v>
      </c>
      <c r="DO113" s="7" t="s">
        <v>223</v>
      </c>
      <c r="DP113" s="7" t="s">
        <v>223</v>
      </c>
      <c r="DQ113" s="7" t="s">
        <v>223</v>
      </c>
      <c r="DR113" s="7" t="s">
        <v>223</v>
      </c>
      <c r="DS113" s="7" t="s">
        <v>223</v>
      </c>
      <c r="DT113" s="7" t="s">
        <v>223</v>
      </c>
      <c r="DU113" s="7" t="s">
        <v>223</v>
      </c>
      <c r="DV113" s="7" t="s">
        <v>223</v>
      </c>
      <c r="DW113" s="7" t="s">
        <v>223</v>
      </c>
      <c r="DX113" s="7" t="s">
        <v>223</v>
      </c>
      <c r="DY113" s="7" t="s">
        <v>223</v>
      </c>
      <c r="DZ113" s="7" t="s">
        <v>223</v>
      </c>
      <c r="EA113" s="7" t="s">
        <v>223</v>
      </c>
      <c r="EB113" s="7" t="s">
        <v>223</v>
      </c>
      <c r="EC113" s="7" t="s">
        <v>223</v>
      </c>
      <c r="ED113" s="7" t="s">
        <v>223</v>
      </c>
      <c r="EE113" s="7" t="s">
        <v>223</v>
      </c>
      <c r="EF113" s="7" t="s">
        <v>223</v>
      </c>
      <c r="EG113" s="7" t="s">
        <v>223</v>
      </c>
      <c r="EH113" s="7" t="s">
        <v>223</v>
      </c>
      <c r="EI113" s="7" t="s">
        <v>223</v>
      </c>
      <c r="EJ113" s="7" t="s">
        <v>223</v>
      </c>
      <c r="EK113" s="7" t="s">
        <v>223</v>
      </c>
      <c r="EL113" s="7" t="s">
        <v>223</v>
      </c>
      <c r="EM113" s="10" t="n">
        <f aca="false">SUM(DL113:EL113)</f>
        <v>0</v>
      </c>
      <c r="EN113" s="7" t="s">
        <v>223</v>
      </c>
      <c r="EO113" s="7" t="s">
        <v>224</v>
      </c>
      <c r="EP113" s="7" t="s">
        <v>224</v>
      </c>
      <c r="EQ113" s="7" t="s">
        <v>223</v>
      </c>
      <c r="ER113" s="7" t="s">
        <v>223</v>
      </c>
      <c r="ES113" s="7" t="s">
        <v>223</v>
      </c>
      <c r="ET113" s="7" t="s">
        <v>223</v>
      </c>
      <c r="EU113" s="10" t="n">
        <f aca="false">SUM(EN113:ET113)</f>
        <v>0</v>
      </c>
      <c r="EV113" s="1" t="n">
        <v>0.887253844881758</v>
      </c>
      <c r="EW113" s="1" t="n">
        <v>1.00755945096742</v>
      </c>
      <c r="EX113" s="1" t="n">
        <v>0.505659500578799</v>
      </c>
      <c r="EY113" s="1" t="n">
        <v>0.165420208367785</v>
      </c>
      <c r="EZ113" s="1" t="n">
        <v>0.578970729287249</v>
      </c>
      <c r="FA113" s="1" t="n">
        <v>72.7341377542582</v>
      </c>
      <c r="FB113" s="1" t="n">
        <v>305.267956341987</v>
      </c>
      <c r="FC113" s="1" t="n">
        <v>0.855297668265254</v>
      </c>
      <c r="FD113" s="1" t="n">
        <v>6.40627352406151</v>
      </c>
      <c r="FE113" s="1" t="n">
        <v>0.297004465023978</v>
      </c>
      <c r="FF113" s="1" t="n">
        <v>0.29512468992889</v>
      </c>
      <c r="FG113" s="1" t="s">
        <v>225</v>
      </c>
      <c r="FH113" s="1" t="n">
        <v>3.18621878617496</v>
      </c>
      <c r="FI113" s="1" t="s">
        <v>225</v>
      </c>
      <c r="FJ113" s="1" t="n">
        <v>0.898532495452289</v>
      </c>
      <c r="FK113" s="1" t="n">
        <v>175.446928724987</v>
      </c>
      <c r="FL113" s="1" t="n">
        <v>0.988904562923762</v>
      </c>
    </row>
    <row r="114" customFormat="false" ht="12.8" hidden="false" customHeight="false" outlineLevel="0" collapsed="false">
      <c r="A114" s="1" t="s">
        <v>332</v>
      </c>
      <c r="B114" s="6" t="n">
        <v>43287</v>
      </c>
      <c r="C114" s="25" t="n">
        <v>7</v>
      </c>
      <c r="D114" s="1" t="s">
        <v>169</v>
      </c>
      <c r="BL114" s="7" t="s">
        <v>223</v>
      </c>
      <c r="BM114" s="7" t="s">
        <v>223</v>
      </c>
      <c r="BN114" s="7" t="s">
        <v>223</v>
      </c>
      <c r="BO114" s="7" t="s">
        <v>223</v>
      </c>
      <c r="BP114" s="7" t="s">
        <v>223</v>
      </c>
      <c r="BQ114" s="7" t="s">
        <v>223</v>
      </c>
      <c r="BR114" s="7" t="s">
        <v>223</v>
      </c>
      <c r="BS114" s="7" t="s">
        <v>223</v>
      </c>
      <c r="BT114" s="7" t="s">
        <v>223</v>
      </c>
      <c r="BU114" s="7" t="s">
        <v>223</v>
      </c>
      <c r="BV114" s="7" t="s">
        <v>223</v>
      </c>
      <c r="BW114" s="7" t="s">
        <v>224</v>
      </c>
      <c r="BX114" s="7" t="s">
        <v>223</v>
      </c>
      <c r="BY114" s="7" t="n">
        <v>13.9790302464478</v>
      </c>
      <c r="BZ114" s="7" t="s">
        <v>223</v>
      </c>
      <c r="CA114" s="7" t="s">
        <v>223</v>
      </c>
      <c r="CB114" s="7" t="s">
        <v>223</v>
      </c>
      <c r="CC114" s="7" t="s">
        <v>223</v>
      </c>
      <c r="CD114" s="7" t="s">
        <v>223</v>
      </c>
      <c r="CE114" s="7" t="s">
        <v>224</v>
      </c>
      <c r="CF114" s="7" t="s">
        <v>223</v>
      </c>
      <c r="CG114" s="7" t="s">
        <v>223</v>
      </c>
      <c r="CH114" s="7" t="s">
        <v>223</v>
      </c>
      <c r="CI114" s="7" t="s">
        <v>223</v>
      </c>
      <c r="CJ114" s="10" t="n">
        <f aca="false">SUM(BL114:CI114)</f>
        <v>13.9790302464478</v>
      </c>
      <c r="CK114" s="7" t="s">
        <v>223</v>
      </c>
      <c r="CL114" s="7" t="s">
        <v>223</v>
      </c>
      <c r="CM114" s="7" t="s">
        <v>223</v>
      </c>
      <c r="CN114" s="7" t="s">
        <v>223</v>
      </c>
      <c r="CO114" s="7" t="s">
        <v>224</v>
      </c>
      <c r="CP114" s="7" t="s">
        <v>223</v>
      </c>
      <c r="CQ114" s="7" t="s">
        <v>223</v>
      </c>
      <c r="CR114" s="7" t="n">
        <v>2.23656966362766</v>
      </c>
      <c r="CS114" s="7" t="n">
        <v>3.36650376189269</v>
      </c>
      <c r="CT114" s="7" t="s">
        <v>223</v>
      </c>
      <c r="CU114" s="7" t="n">
        <v>11.877985851675</v>
      </c>
      <c r="CV114" s="7" t="s">
        <v>224</v>
      </c>
      <c r="CW114" s="7" t="n">
        <v>11.6368863088871</v>
      </c>
      <c r="CX114" s="7" t="n">
        <v>22.9016225563687</v>
      </c>
      <c r="CY114" s="7" t="s">
        <v>223</v>
      </c>
      <c r="CZ114" s="7" t="s">
        <v>224</v>
      </c>
      <c r="DA114" s="7" t="s">
        <v>224</v>
      </c>
      <c r="DB114" s="7" t="n">
        <v>43.0240374036616</v>
      </c>
      <c r="DC114" s="7" t="n">
        <v>14.3643360735511</v>
      </c>
      <c r="DD114" s="7" t="n">
        <v>55.4048061920043</v>
      </c>
      <c r="DE114" s="7" t="s">
        <v>223</v>
      </c>
      <c r="DF114" s="7" t="s">
        <v>223</v>
      </c>
      <c r="DG114" s="7" t="s">
        <v>223</v>
      </c>
      <c r="DH114" s="7" t="s">
        <v>224</v>
      </c>
      <c r="DI114" s="7" t="n">
        <v>14.5831215284888</v>
      </c>
      <c r="DJ114" s="7" t="s">
        <v>223</v>
      </c>
      <c r="DK114" s="10" t="n">
        <f aca="false">SUM(CK114:DJ114)</f>
        <v>179.395869340157</v>
      </c>
      <c r="DL114" s="7" t="s">
        <v>223</v>
      </c>
      <c r="DM114" s="7" t="s">
        <v>223</v>
      </c>
      <c r="DN114" s="7" t="s">
        <v>223</v>
      </c>
      <c r="DO114" s="7" t="s">
        <v>223</v>
      </c>
      <c r="DP114" s="7" t="s">
        <v>223</v>
      </c>
      <c r="DQ114" s="7" t="s">
        <v>223</v>
      </c>
      <c r="DR114" s="7" t="s">
        <v>223</v>
      </c>
      <c r="DS114" s="7" t="s">
        <v>223</v>
      </c>
      <c r="DT114" s="7" t="s">
        <v>223</v>
      </c>
      <c r="DU114" s="7" t="s">
        <v>223</v>
      </c>
      <c r="DV114" s="7" t="s">
        <v>223</v>
      </c>
      <c r="DW114" s="7" t="s">
        <v>224</v>
      </c>
      <c r="DX114" s="7" t="s">
        <v>223</v>
      </c>
      <c r="DY114" s="7" t="s">
        <v>223</v>
      </c>
      <c r="DZ114" s="7" t="s">
        <v>223</v>
      </c>
      <c r="EA114" s="7" t="s">
        <v>223</v>
      </c>
      <c r="EB114" s="7" t="s">
        <v>223</v>
      </c>
      <c r="EC114" s="7" t="s">
        <v>223</v>
      </c>
      <c r="ED114" s="7" t="s">
        <v>223</v>
      </c>
      <c r="EE114" s="7" t="s">
        <v>223</v>
      </c>
      <c r="EF114" s="7" t="s">
        <v>223</v>
      </c>
      <c r="EG114" s="7" t="s">
        <v>223</v>
      </c>
      <c r="EH114" s="7" t="s">
        <v>223</v>
      </c>
      <c r="EI114" s="7" t="s">
        <v>223</v>
      </c>
      <c r="EJ114" s="7" t="s">
        <v>223</v>
      </c>
      <c r="EK114" s="7" t="s">
        <v>223</v>
      </c>
      <c r="EL114" s="7" t="s">
        <v>223</v>
      </c>
      <c r="EM114" s="10" t="n">
        <f aca="false">SUM(DL114:EL114)</f>
        <v>0</v>
      </c>
      <c r="EN114" s="7" t="s">
        <v>223</v>
      </c>
      <c r="EO114" s="7" t="s">
        <v>223</v>
      </c>
      <c r="EP114" s="7" t="s">
        <v>223</v>
      </c>
      <c r="EQ114" s="7" t="s">
        <v>223</v>
      </c>
      <c r="ER114" s="7" t="s">
        <v>223</v>
      </c>
      <c r="ES114" s="7" t="s">
        <v>223</v>
      </c>
      <c r="ET114" s="7" t="s">
        <v>223</v>
      </c>
      <c r="EU114" s="10" t="n">
        <f aca="false">SUM(EN114:ET114)</f>
        <v>0</v>
      </c>
      <c r="EV114" s="1" t="n">
        <v>1.21368486777669</v>
      </c>
      <c r="EW114" s="1" t="n">
        <v>0.595315817825661</v>
      </c>
      <c r="EX114" s="1" t="n">
        <v>0.211547306562194</v>
      </c>
      <c r="EY114" s="1" t="n">
        <v>0.534292556317336</v>
      </c>
      <c r="EZ114" s="1" t="n">
        <v>0.709225905974534</v>
      </c>
      <c r="FA114" s="1" t="n">
        <v>87.6727978452497</v>
      </c>
      <c r="FB114" s="1" t="n">
        <v>527.201653330068</v>
      </c>
      <c r="FC114" s="1" t="n">
        <v>0.442079627815866</v>
      </c>
      <c r="FD114" s="1" t="n">
        <v>5.793141625857</v>
      </c>
      <c r="FE114" s="1" t="n">
        <v>0.246805190989226</v>
      </c>
      <c r="FF114" s="1" t="n">
        <v>0.386480656219393</v>
      </c>
      <c r="FG114" s="1" t="n">
        <v>0.0637354064642507</v>
      </c>
      <c r="FH114" s="1" t="n">
        <v>2.34871753183154</v>
      </c>
      <c r="FI114" s="1" t="s">
        <v>225</v>
      </c>
      <c r="FJ114" s="1" t="n">
        <v>0.370207786483839</v>
      </c>
      <c r="FK114" s="1" t="n">
        <v>218.125614152791</v>
      </c>
      <c r="FL114" s="1" t="n">
        <v>0.997789992850146</v>
      </c>
    </row>
    <row r="115" customFormat="false" ht="12.8" hidden="false" customHeight="false" outlineLevel="0" collapsed="false">
      <c r="A115" s="1" t="s">
        <v>333</v>
      </c>
      <c r="B115" s="6" t="n">
        <v>43287</v>
      </c>
      <c r="C115" s="25" t="n">
        <v>7</v>
      </c>
      <c r="D115" s="1" t="s">
        <v>169</v>
      </c>
      <c r="BL115" s="7" t="s">
        <v>223</v>
      </c>
      <c r="BM115" s="7" t="s">
        <v>223</v>
      </c>
      <c r="BN115" s="7" t="s">
        <v>223</v>
      </c>
      <c r="BO115" s="7" t="s">
        <v>223</v>
      </c>
      <c r="BP115" s="7" t="s">
        <v>223</v>
      </c>
      <c r="BQ115" s="7" t="s">
        <v>223</v>
      </c>
      <c r="BR115" s="7" t="s">
        <v>223</v>
      </c>
      <c r="BS115" s="7" t="s">
        <v>223</v>
      </c>
      <c r="BT115" s="7" t="s">
        <v>224</v>
      </c>
      <c r="BU115" s="7" t="s">
        <v>223</v>
      </c>
      <c r="BV115" s="7" t="s">
        <v>223</v>
      </c>
      <c r="BW115" s="7" t="s">
        <v>224</v>
      </c>
      <c r="BX115" s="7" t="s">
        <v>223</v>
      </c>
      <c r="BY115" s="7" t="n">
        <v>7.50273676056439</v>
      </c>
      <c r="BZ115" s="7" t="s">
        <v>223</v>
      </c>
      <c r="CA115" s="7" t="s">
        <v>223</v>
      </c>
      <c r="CB115" s="7" t="s">
        <v>223</v>
      </c>
      <c r="CC115" s="7" t="s">
        <v>223</v>
      </c>
      <c r="CD115" s="7" t="s">
        <v>223</v>
      </c>
      <c r="CE115" s="7" t="s">
        <v>224</v>
      </c>
      <c r="CF115" s="7" t="s">
        <v>223</v>
      </c>
      <c r="CG115" s="7" t="s">
        <v>223</v>
      </c>
      <c r="CH115" s="7" t="s">
        <v>223</v>
      </c>
      <c r="CI115" s="7" t="s">
        <v>224</v>
      </c>
      <c r="CJ115" s="10" t="n">
        <f aca="false">SUM(BL115:CI115)</f>
        <v>7.50273676056439</v>
      </c>
      <c r="CK115" s="7" t="s">
        <v>223</v>
      </c>
      <c r="CL115" s="7" t="s">
        <v>223</v>
      </c>
      <c r="CM115" s="7" t="s">
        <v>223</v>
      </c>
      <c r="CN115" s="7" t="s">
        <v>223</v>
      </c>
      <c r="CO115" s="7" t="s">
        <v>223</v>
      </c>
      <c r="CP115" s="7" t="s">
        <v>223</v>
      </c>
      <c r="CQ115" s="7" t="s">
        <v>223</v>
      </c>
      <c r="CR115" s="7" t="s">
        <v>224</v>
      </c>
      <c r="CS115" s="7" t="s">
        <v>224</v>
      </c>
      <c r="CT115" s="7" t="s">
        <v>223</v>
      </c>
      <c r="CU115" s="7" t="n">
        <v>5.51007877159499</v>
      </c>
      <c r="CV115" s="7" t="s">
        <v>223</v>
      </c>
      <c r="CW115" s="7" t="s">
        <v>224</v>
      </c>
      <c r="CX115" s="7" t="n">
        <v>7.619843786954</v>
      </c>
      <c r="CY115" s="7" t="s">
        <v>223</v>
      </c>
      <c r="CZ115" s="7" t="s">
        <v>223</v>
      </c>
      <c r="DA115" s="7" t="s">
        <v>223</v>
      </c>
      <c r="DB115" s="7" t="n">
        <v>16.5985287627114</v>
      </c>
      <c r="DC115" s="7" t="s">
        <v>224</v>
      </c>
      <c r="DD115" s="7" t="n">
        <v>22.9748797834423</v>
      </c>
      <c r="DE115" s="7" t="s">
        <v>223</v>
      </c>
      <c r="DF115" s="7" t="s">
        <v>223</v>
      </c>
      <c r="DG115" s="7" t="s">
        <v>223</v>
      </c>
      <c r="DH115" s="7" t="s">
        <v>224</v>
      </c>
      <c r="DI115" s="7" t="s">
        <v>224</v>
      </c>
      <c r="DJ115" s="7" t="s">
        <v>223</v>
      </c>
      <c r="DK115" s="10" t="n">
        <f aca="false">SUM(CK115:DJ115)</f>
        <v>52.7033311047027</v>
      </c>
      <c r="DL115" s="7" t="s">
        <v>223</v>
      </c>
      <c r="DM115" s="7" t="s">
        <v>223</v>
      </c>
      <c r="DN115" s="7" t="s">
        <v>223</v>
      </c>
      <c r="DO115" s="7" t="s">
        <v>223</v>
      </c>
      <c r="DP115" s="7" t="s">
        <v>223</v>
      </c>
      <c r="DQ115" s="7" t="s">
        <v>223</v>
      </c>
      <c r="DR115" s="7" t="s">
        <v>223</v>
      </c>
      <c r="DS115" s="7" t="s">
        <v>223</v>
      </c>
      <c r="DT115" s="7" t="s">
        <v>223</v>
      </c>
      <c r="DU115" s="7" t="s">
        <v>223</v>
      </c>
      <c r="DV115" s="7" t="s">
        <v>223</v>
      </c>
      <c r="DW115" s="7" t="n">
        <v>3.65861535209966</v>
      </c>
      <c r="DX115" s="7" t="s">
        <v>223</v>
      </c>
      <c r="DY115" s="7" t="s">
        <v>224</v>
      </c>
      <c r="DZ115" s="7" t="s">
        <v>223</v>
      </c>
      <c r="EA115" s="7" t="s">
        <v>223</v>
      </c>
      <c r="EB115" s="7" t="s">
        <v>223</v>
      </c>
      <c r="EC115" s="7" t="s">
        <v>223</v>
      </c>
      <c r="ED115" s="7" t="s">
        <v>223</v>
      </c>
      <c r="EE115" s="7" t="s">
        <v>223</v>
      </c>
      <c r="EF115" s="7" t="s">
        <v>223</v>
      </c>
      <c r="EG115" s="7" t="s">
        <v>223</v>
      </c>
      <c r="EH115" s="7" t="s">
        <v>223</v>
      </c>
      <c r="EI115" s="7" t="s">
        <v>223</v>
      </c>
      <c r="EJ115" s="7" t="s">
        <v>223</v>
      </c>
      <c r="EK115" s="7" t="s">
        <v>223</v>
      </c>
      <c r="EL115" s="7" t="n">
        <v>2.34120793486302</v>
      </c>
      <c r="EM115" s="10" t="n">
        <f aca="false">SUM(DL115:EL115)</f>
        <v>5.99982328696268</v>
      </c>
      <c r="EN115" s="7" t="s">
        <v>223</v>
      </c>
      <c r="EO115" s="7" t="s">
        <v>224</v>
      </c>
      <c r="EP115" s="7" t="s">
        <v>224</v>
      </c>
      <c r="EQ115" s="7" t="s">
        <v>223</v>
      </c>
      <c r="ER115" s="7" t="s">
        <v>223</v>
      </c>
      <c r="ES115" s="7" t="s">
        <v>223</v>
      </c>
      <c r="ET115" s="7" t="s">
        <v>223</v>
      </c>
      <c r="EU115" s="10" t="n">
        <f aca="false">SUM(EN115:ET115)</f>
        <v>0</v>
      </c>
      <c r="EV115" s="1" t="n">
        <v>0.203724818334265</v>
      </c>
      <c r="EW115" s="1" t="n">
        <v>0.633284125209615</v>
      </c>
      <c r="EX115" s="1" t="n">
        <v>0.0205304080491895</v>
      </c>
      <c r="EY115" s="1" t="n">
        <v>0.293742761319173</v>
      </c>
      <c r="EZ115" s="1" t="n">
        <v>0.45166897708217</v>
      </c>
      <c r="FA115" s="1" t="n">
        <v>44.2525049189492</v>
      </c>
      <c r="FB115" s="1" t="n">
        <v>529.158633370599</v>
      </c>
      <c r="FC115" s="1" t="n">
        <v>0.43903487982113</v>
      </c>
      <c r="FD115" s="1" t="n">
        <v>7.32777641140303</v>
      </c>
      <c r="FE115" s="1" t="s">
        <v>225</v>
      </c>
      <c r="FF115" s="1" t="n">
        <v>0.399553325880381</v>
      </c>
      <c r="FG115" s="1" t="s">
        <v>225</v>
      </c>
      <c r="FH115" s="1" t="n">
        <v>2.26939972051426</v>
      </c>
      <c r="FI115" s="1" t="s">
        <v>225</v>
      </c>
      <c r="FJ115" s="1" t="n">
        <v>0.202145556176635</v>
      </c>
      <c r="FK115" s="1" t="n">
        <v>134.764756959195</v>
      </c>
      <c r="FL115" s="1" t="n">
        <v>0.931243516489661</v>
      </c>
    </row>
    <row r="116" customFormat="false" ht="12.8" hidden="false" customHeight="false" outlineLevel="0" collapsed="false">
      <c r="A116" s="1" t="s">
        <v>334</v>
      </c>
      <c r="B116" s="6" t="n">
        <v>43287</v>
      </c>
      <c r="C116" s="25" t="n">
        <v>7</v>
      </c>
      <c r="D116" s="1" t="s">
        <v>169</v>
      </c>
      <c r="BL116" s="7" t="s">
        <v>223</v>
      </c>
      <c r="BM116" s="7" t="s">
        <v>223</v>
      </c>
      <c r="BN116" s="7" t="s">
        <v>223</v>
      </c>
      <c r="BO116" s="7" t="s">
        <v>223</v>
      </c>
      <c r="BP116" s="7" t="s">
        <v>223</v>
      </c>
      <c r="BQ116" s="7" t="s">
        <v>223</v>
      </c>
      <c r="BR116" s="7" t="s">
        <v>223</v>
      </c>
      <c r="BS116" s="7" t="s">
        <v>223</v>
      </c>
      <c r="BT116" s="7" t="s">
        <v>223</v>
      </c>
      <c r="BU116" s="7" t="s">
        <v>223</v>
      </c>
      <c r="BV116" s="7" t="s">
        <v>223</v>
      </c>
      <c r="BW116" s="7" t="s">
        <v>223</v>
      </c>
      <c r="BX116" s="7" t="s">
        <v>223</v>
      </c>
      <c r="BY116" s="7" t="n">
        <v>3.75455960750419</v>
      </c>
      <c r="BZ116" s="7" t="s">
        <v>223</v>
      </c>
      <c r="CA116" s="7" t="s">
        <v>223</v>
      </c>
      <c r="CB116" s="7" t="s">
        <v>223</v>
      </c>
      <c r="CC116" s="7" t="s">
        <v>223</v>
      </c>
      <c r="CD116" s="7" t="s">
        <v>223</v>
      </c>
      <c r="CE116" s="7" t="s">
        <v>224</v>
      </c>
      <c r="CF116" s="7" t="s">
        <v>223</v>
      </c>
      <c r="CG116" s="7" t="s">
        <v>223</v>
      </c>
      <c r="CH116" s="7" t="s">
        <v>223</v>
      </c>
      <c r="CI116" s="7" t="s">
        <v>223</v>
      </c>
      <c r="CJ116" s="10" t="n">
        <f aca="false">SUM(BL116:CI116)</f>
        <v>3.75455960750419</v>
      </c>
      <c r="CK116" s="7" t="s">
        <v>223</v>
      </c>
      <c r="CL116" s="7" t="s">
        <v>224</v>
      </c>
      <c r="CM116" s="7" t="s">
        <v>223</v>
      </c>
      <c r="CN116" s="7" t="n">
        <v>3.6562818978815</v>
      </c>
      <c r="CO116" s="7" t="n">
        <v>2.60652341225051</v>
      </c>
      <c r="CP116" s="7" t="s">
        <v>223</v>
      </c>
      <c r="CQ116" s="7" t="s">
        <v>224</v>
      </c>
      <c r="CR116" s="7" t="n">
        <v>8.42975767931187</v>
      </c>
      <c r="CS116" s="7" t="n">
        <v>11.9717202334161</v>
      </c>
      <c r="CT116" s="7" t="s">
        <v>223</v>
      </c>
      <c r="CU116" s="7" t="n">
        <v>27.9948913751337</v>
      </c>
      <c r="CV116" s="7" t="s">
        <v>224</v>
      </c>
      <c r="CW116" s="7" t="n">
        <v>15.8697162640499</v>
      </c>
      <c r="CX116" s="7" t="n">
        <v>35.9108627529841</v>
      </c>
      <c r="CY116" s="7" t="s">
        <v>224</v>
      </c>
      <c r="CZ116" s="7" t="s">
        <v>224</v>
      </c>
      <c r="DA116" s="7" t="s">
        <v>224</v>
      </c>
      <c r="DB116" s="7" t="n">
        <v>79.7333081348519</v>
      </c>
      <c r="DC116" s="7" t="n">
        <v>23.3451783145678</v>
      </c>
      <c r="DD116" s="7" t="n">
        <v>94.0871505057594</v>
      </c>
      <c r="DE116" s="7" t="s">
        <v>223</v>
      </c>
      <c r="DF116" s="7" t="s">
        <v>223</v>
      </c>
      <c r="DG116" s="7" t="s">
        <v>224</v>
      </c>
      <c r="DH116" s="7" t="n">
        <v>19.2985398965127</v>
      </c>
      <c r="DI116" s="7" t="n">
        <v>33.4966270799492</v>
      </c>
      <c r="DJ116" s="7" t="s">
        <v>224</v>
      </c>
      <c r="DK116" s="10" t="n">
        <f aca="false">SUM(CK116:DJ116)</f>
        <v>356.400557546669</v>
      </c>
      <c r="DL116" s="7" t="s">
        <v>223</v>
      </c>
      <c r="DM116" s="7" t="s">
        <v>223</v>
      </c>
      <c r="DN116" s="7" t="s">
        <v>223</v>
      </c>
      <c r="DO116" s="7" t="s">
        <v>223</v>
      </c>
      <c r="DP116" s="7" t="s">
        <v>223</v>
      </c>
      <c r="DQ116" s="7" t="s">
        <v>223</v>
      </c>
      <c r="DR116" s="7" t="s">
        <v>223</v>
      </c>
      <c r="DS116" s="7" t="s">
        <v>223</v>
      </c>
      <c r="DT116" s="7" t="s">
        <v>223</v>
      </c>
      <c r="DU116" s="7" t="s">
        <v>223</v>
      </c>
      <c r="DV116" s="7" t="s">
        <v>223</v>
      </c>
      <c r="DW116" s="7" t="n">
        <v>3.22373285315779</v>
      </c>
      <c r="DX116" s="7" t="s">
        <v>223</v>
      </c>
      <c r="DY116" s="7" t="s">
        <v>224</v>
      </c>
      <c r="DZ116" s="7" t="s">
        <v>223</v>
      </c>
      <c r="EA116" s="7" t="s">
        <v>223</v>
      </c>
      <c r="EB116" s="7" t="s">
        <v>223</v>
      </c>
      <c r="EC116" s="7" t="s">
        <v>223</v>
      </c>
      <c r="ED116" s="7" t="s">
        <v>223</v>
      </c>
      <c r="EE116" s="7" t="s">
        <v>223</v>
      </c>
      <c r="EF116" s="7" t="s">
        <v>223</v>
      </c>
      <c r="EG116" s="7" t="s">
        <v>223</v>
      </c>
      <c r="EH116" s="7" t="s">
        <v>223</v>
      </c>
      <c r="EI116" s="7" t="s">
        <v>223</v>
      </c>
      <c r="EJ116" s="7" t="s">
        <v>223</v>
      </c>
      <c r="EK116" s="7" t="s">
        <v>223</v>
      </c>
      <c r="EL116" s="7" t="s">
        <v>223</v>
      </c>
      <c r="EM116" s="10" t="n">
        <f aca="false">SUM(DL116:EL116)</f>
        <v>3.22373285315779</v>
      </c>
      <c r="EN116" s="7" t="s">
        <v>223</v>
      </c>
      <c r="EO116" s="7" t="s">
        <v>224</v>
      </c>
      <c r="EP116" s="7" t="s">
        <v>223</v>
      </c>
      <c r="EQ116" s="7" t="s">
        <v>223</v>
      </c>
      <c r="ER116" s="7" t="s">
        <v>223</v>
      </c>
      <c r="ES116" s="7" t="s">
        <v>223</v>
      </c>
      <c r="ET116" s="7" t="s">
        <v>223</v>
      </c>
      <c r="EU116" s="10" t="n">
        <f aca="false">SUM(EN116:ET116)</f>
        <v>0</v>
      </c>
      <c r="EV116" s="1" t="n">
        <v>1.24909852643745</v>
      </c>
      <c r="EW116" s="1" t="n">
        <v>0.66839179427911</v>
      </c>
      <c r="EX116" s="1" t="n">
        <v>0.170406818838486</v>
      </c>
      <c r="EY116" s="1" t="n">
        <v>0.486403929500145</v>
      </c>
      <c r="EZ116" s="1" t="n">
        <v>0.466550707887894</v>
      </c>
      <c r="FA116" s="1" t="n">
        <v>97.7423733025137</v>
      </c>
      <c r="FB116" s="1" t="n">
        <v>725.79242126553</v>
      </c>
      <c r="FC116" s="1" t="n">
        <v>0.415263218722913</v>
      </c>
      <c r="FD116" s="1" t="n">
        <v>4.62745507078879</v>
      </c>
      <c r="FE116" s="1" t="n">
        <v>0.109192718867379</v>
      </c>
      <c r="FF116" s="1" t="n">
        <v>0.373902340364057</v>
      </c>
      <c r="FG116" s="1" t="s">
        <v>225</v>
      </c>
      <c r="FH116" s="1" t="n">
        <v>2.31290031782722</v>
      </c>
      <c r="FI116" s="1" t="s">
        <v>225</v>
      </c>
      <c r="FJ116" s="1" t="n">
        <v>0.266364056631032</v>
      </c>
      <c r="FK116" s="1" t="n">
        <v>234.157167870558</v>
      </c>
      <c r="FL116" s="1" t="n">
        <v>0.843422759318116</v>
      </c>
    </row>
  </sheetData>
  <autoFilter ref="A1:FL116"/>
  <dataValidations count="3">
    <dataValidation allowBlank="true" errorStyle="stop" operator="between" showDropDown="false" showErrorMessage="true" showInputMessage="true" sqref="U33 V34:W35 W36:W38 V37:V38 U38 W40:W41 U43 V48 U51 W51 U55:V55 V56 U59:U60" type="list">
      <formula1>$R$2:$R$13</formula1>
      <formula2>0</formula2>
    </dataValidation>
    <dataValidation allowBlank="true" errorStyle="stop" operator="between" showDropDown="false" showErrorMessage="true" showInputMessage="true" sqref="X47" type="list">
      <formula1>$S$2:$S$8</formula1>
      <formula2>0</formula2>
    </dataValidation>
    <dataValidation allowBlank="true" errorStyle="stop" operator="between" showDropDown="false" showErrorMessage="true" showInputMessage="true" sqref="Z33:Z56 Y55 Z57:Z62" type="list">
      <formula1>$T$2:$T$8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2025-06-03T13:43:07Z</dcterms:created>
  <dc:creator/>
  <dc:description/>
  <dc:language>en-US</dc:language>
  <cp:lastModifiedBy/>
  <dcterms:modified xsi:type="dcterms:W3CDTF">2026-07-01T15:36:22Z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